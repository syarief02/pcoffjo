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3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Borang 2.0\ICPMS\"/>
    </mc:Choice>
  </mc:AlternateContent>
  <xr:revisionPtr revIDLastSave="0" documentId="13_ncr:1_{9A8C8FFC-265C-471A-B14D-AC9CF88C74ED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36" l="1"/>
  <c r="C30" i="36" s="1"/>
  <c r="H29" i="36" s="1"/>
  <c r="C26" i="36"/>
  <c r="C23" i="36"/>
  <c r="C24" i="36" s="1"/>
  <c r="H23" i="36" s="1"/>
  <c r="C20" i="36"/>
  <c r="C21" i="36" s="1"/>
  <c r="H20" i="36" s="1"/>
  <c r="C27" i="36"/>
  <c r="H26" i="36" s="1"/>
  <c r="C29" i="35"/>
  <c r="C30" i="35" s="1"/>
  <c r="H29" i="35" s="1"/>
  <c r="C26" i="35"/>
  <c r="C27" i="35" s="1"/>
  <c r="H26" i="35" s="1"/>
  <c r="C23" i="35"/>
  <c r="C24" i="35" s="1"/>
  <c r="H23" i="35" s="1"/>
  <c r="C20" i="35"/>
  <c r="C21" i="35" s="1"/>
  <c r="H20" i="35" s="1"/>
  <c r="C29" i="34"/>
  <c r="C30" i="34" s="1"/>
  <c r="H29" i="34" s="1"/>
  <c r="C26" i="34"/>
  <c r="C27" i="34" s="1"/>
  <c r="H26" i="34" s="1"/>
  <c r="C23" i="34"/>
  <c r="C24" i="34" s="1"/>
  <c r="H23" i="34" s="1"/>
  <c r="C20" i="34"/>
  <c r="C21" i="34"/>
  <c r="H20" i="34" s="1"/>
  <c r="C29" i="33"/>
  <c r="C30" i="33" s="1"/>
  <c r="H29" i="33" s="1"/>
  <c r="C26" i="33"/>
  <c r="C23" i="33"/>
  <c r="C24" i="33" s="1"/>
  <c r="H23" i="33" s="1"/>
  <c r="C20" i="33"/>
  <c r="C21" i="33" s="1"/>
  <c r="H20" i="33" s="1"/>
  <c r="C27" i="33"/>
  <c r="H26" i="33" s="1"/>
  <c r="C29" i="32"/>
  <c r="C30" i="32" s="1"/>
  <c r="H29" i="32" s="1"/>
  <c r="C26" i="32"/>
  <c r="C27" i="32" s="1"/>
  <c r="H26" i="32" s="1"/>
  <c r="C23" i="32"/>
  <c r="C24" i="32" s="1"/>
  <c r="H23" i="32" s="1"/>
  <c r="C20" i="32"/>
  <c r="C21" i="32" s="1"/>
  <c r="H20" i="32" s="1"/>
  <c r="C29" i="3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C29" i="30"/>
  <c r="C30" i="30" s="1"/>
  <c r="H29" i="30" s="1"/>
  <c r="C26" i="30"/>
  <c r="C27" i="30" s="1"/>
  <c r="H26" i="30" s="1"/>
  <c r="C23" i="30"/>
  <c r="C24" i="30" s="1"/>
  <c r="H23" i="30" s="1"/>
  <c r="C20" i="30"/>
  <c r="C21" i="30" s="1"/>
  <c r="H20" i="30" s="1"/>
  <c r="C29" i="29"/>
  <c r="C26" i="29"/>
  <c r="C23" i="29"/>
  <c r="C20" i="29"/>
  <c r="C29" i="28"/>
  <c r="C26" i="28"/>
  <c r="C23" i="28"/>
  <c r="C20" i="28"/>
  <c r="C29" i="27"/>
  <c r="C26" i="27"/>
  <c r="C23" i="27"/>
  <c r="C20" i="27"/>
  <c r="C29" i="26"/>
  <c r="C26" i="26"/>
  <c r="C23" i="26"/>
  <c r="C20" i="26"/>
  <c r="C29" i="25"/>
  <c r="C26" i="25"/>
  <c r="C23" i="25"/>
  <c r="C20" i="25"/>
  <c r="C29" i="24"/>
  <c r="C26" i="24"/>
  <c r="C23" i="24"/>
  <c r="C20" i="24"/>
  <c r="C29" i="23"/>
  <c r="C26" i="23"/>
  <c r="C23" i="23"/>
  <c r="C20" i="23"/>
  <c r="C29" i="1"/>
  <c r="C26" i="1"/>
  <c r="C23" i="1"/>
  <c r="C20" i="1"/>
  <c r="D3" i="36"/>
  <c r="D3" i="35"/>
  <c r="D3" i="34"/>
  <c r="D3" i="33"/>
  <c r="D3" i="32"/>
  <c r="D3" i="31"/>
  <c r="D3" i="30"/>
  <c r="D3" i="29"/>
  <c r="D3" i="28"/>
  <c r="D3" i="27"/>
  <c r="D3" i="26"/>
  <c r="D3" i="25"/>
  <c r="D3" i="24"/>
  <c r="D3" i="23"/>
  <c r="D3" i="1"/>
  <c r="C27" i="29" l="1"/>
  <c r="H26" i="29" s="1"/>
  <c r="C24" i="29"/>
  <c r="H23" i="29" s="1"/>
  <c r="C21" i="29"/>
  <c r="H20" i="29" s="1"/>
  <c r="C30" i="28"/>
  <c r="H29" i="28" s="1"/>
  <c r="C27" i="28"/>
  <c r="H26" i="28" s="1"/>
  <c r="C24" i="28"/>
  <c r="H23" i="28" s="1"/>
  <c r="C30" i="27"/>
  <c r="H29" i="27" s="1"/>
  <c r="C27" i="27"/>
  <c r="H26" i="27" s="1"/>
  <c r="C21" i="27"/>
  <c r="H20" i="27" s="1"/>
  <c r="C30" i="26"/>
  <c r="H29" i="26" s="1"/>
  <c r="C27" i="26"/>
  <c r="H26" i="26" s="1"/>
  <c r="C24" i="26"/>
  <c r="H23" i="26" s="1"/>
  <c r="C21" i="26"/>
  <c r="H20" i="26" s="1"/>
  <c r="C30" i="25"/>
  <c r="H29" i="25" s="1"/>
  <c r="C24" i="25"/>
  <c r="H23" i="25" s="1"/>
  <c r="C21" i="25"/>
  <c r="H20" i="25" s="1"/>
  <c r="C30" i="24"/>
  <c r="H29" i="24" s="1"/>
  <c r="C27" i="24"/>
  <c r="H26" i="24" s="1"/>
  <c r="C24" i="24"/>
  <c r="H23" i="24" s="1"/>
  <c r="C21" i="24"/>
  <c r="H20" i="24" s="1"/>
  <c r="C30" i="23"/>
  <c r="H29" i="23" s="1"/>
  <c r="C27" i="23"/>
  <c r="H26" i="23" s="1"/>
  <c r="C24" i="23"/>
  <c r="H23" i="23" s="1"/>
  <c r="C21" i="23"/>
  <c r="H20" i="23" s="1"/>
  <c r="H38" i="36"/>
  <c r="F38" i="36"/>
  <c r="I18" i="36"/>
  <c r="G18" i="36"/>
  <c r="I17" i="36"/>
  <c r="G17" i="36"/>
  <c r="I16" i="36"/>
  <c r="G16" i="36"/>
  <c r="I15" i="36"/>
  <c r="G15" i="36"/>
  <c r="D4" i="36"/>
  <c r="H38" i="35"/>
  <c r="F38" i="35"/>
  <c r="I18" i="35"/>
  <c r="G18" i="35"/>
  <c r="I17" i="35"/>
  <c r="G17" i="35"/>
  <c r="I16" i="35"/>
  <c r="G16" i="35"/>
  <c r="I15" i="35"/>
  <c r="G15" i="35"/>
  <c r="D4" i="35"/>
  <c r="H38" i="34"/>
  <c r="F38" i="34"/>
  <c r="I18" i="34"/>
  <c r="G18" i="34"/>
  <c r="I17" i="34"/>
  <c r="G17" i="34"/>
  <c r="I16" i="34"/>
  <c r="G16" i="34"/>
  <c r="I15" i="34"/>
  <c r="G15" i="34"/>
  <c r="D4" i="34"/>
  <c r="H38" i="33"/>
  <c r="F38" i="33"/>
  <c r="I18" i="33"/>
  <c r="G18" i="33"/>
  <c r="I17" i="33"/>
  <c r="G17" i="33"/>
  <c r="I16" i="33"/>
  <c r="G16" i="33"/>
  <c r="I15" i="33"/>
  <c r="G15" i="33"/>
  <c r="D4" i="33"/>
  <c r="H38" i="32"/>
  <c r="F38" i="32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C24" i="27"/>
  <c r="H23" i="27" s="1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C27" i="25"/>
  <c r="H26" i="25" s="1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<sst xmlns="http://schemas.openxmlformats.org/spreadsheetml/2006/main" count="1268" uniqueCount="94">
  <si>
    <t>Unit Analisis Tradisional</t>
  </si>
  <si>
    <t>Laporan Ujian Pengesanan Logam Berat (ICPMS)</t>
  </si>
  <si>
    <t>No. Sampel</t>
  </si>
  <si>
    <t>Fail Analisis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</si>
  <si>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</si>
  <si>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</si>
  <si>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</si>
  <si>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</si>
  <si>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</si>
  <si>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</si>
  <si>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</si>
  <si>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</si>
  <si>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</si>
  <si>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</si>
  <si>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</si>
  <si>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</si>
  <si>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</si>
  <si>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</si>
  <si>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</si>
  <si>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</si>
  <si>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</si>
  <si>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</si>
  <si>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</si>
  <si>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</si>
  <si>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</si>
  <si>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</si>
  <si>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</si>
  <si>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</si>
  <si>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</si>
  <si>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</si>
  <si>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</si>
  <si>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</si>
  <si>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</si>
  <si>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</si>
  <si>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</si>
  <si>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</si>
  <si>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</si>
  <si>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</si>
  <si>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</si>
  <si>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</si>
  <si>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</si>
  <si>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</si>
  <si>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</si>
  <si>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</si>
  <si>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</si>
  <si>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</si>
  <si>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</si>
  <si>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</si>
  <si>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</si>
  <si>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</si>
  <si>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</si>
  <si>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</si>
  <si>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</si>
  <si>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</si>
  <si>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</si>
  <si>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</si>
  <si>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</si>
  <si>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</si>
  <si>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</si>
  <si>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</si>
  <si>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</si>
  <si>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</si>
  <si>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</si>
  <si>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</si>
  <si>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</si>
  <si>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</si>
  <si>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</si>
  <si>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</si>
  <si>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</si>
  <si>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</si>
  <si>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</si>
  <si>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</si>
  <si>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</si>
  <si>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</si>
  <si>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</si>
  <si>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</si>
  <si>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</si>
  <si>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</si>
  <si>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</si>
  <si>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</si>
  <si>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</si>
  <si>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</si>
  <si>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</si>
  <si>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</si>
  <si>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</si>
  <si>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</si>
  <si>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</si>
  <si>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</si>
  <si>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cd</t>
  </si>
  <si>
    <t>Bil</t>
  </si>
  <si>
    <t>No Sampel</t>
  </si>
  <si>
    <t>Elemen</t>
  </si>
  <si>
    <t>Sila Pilih</t>
  </si>
  <si>
    <t>TATACARA UJIAN: PKKK/200/UAT/003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</si>
</sst>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41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56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4" xfId="0" applyFont="1" applyBorder="1" applyAlignment="1"/>
    <xf numFmtId="0" fontId="0" fillId="0" borderId="25" xfId="0" applyFont="1" applyBorder="1" applyAlignment="1"/>
    <xf numFmtId="0" fontId="0" fillId="0" borderId="23" xfId="0" applyFont="1" applyBorder="1" applyAlignment="1"/>
    <xf numFmtId="0" fontId="3" fillId="0" borderId="24" xfId="0" applyFont="1" applyBorder="1" applyAlignment="1">
      <alignment horizontal="left"/>
    </xf>
    <xf numFmtId="0" fontId="0" fillId="0" borderId="18" xfId="0" applyFont="1" applyBorder="1" applyAlignment="1"/>
    <xf numFmtId="14" fontId="0" fillId="0" borderId="16" xfId="0" applyNumberFormat="1" applyFont="1" applyBorder="1" applyAlignment="1">
      <alignment horizontal="center"/>
    </xf>
    <xf numFmtId="14" fontId="0" fillId="0" borderId="19" xfId="0" applyNumberFormat="1" applyFont="1" applyBorder="1" applyAlignment="1">
      <alignment horizontal="center"/>
    </xf>
    <xf numFmtId="0" fontId="0" fillId="0" borderId="28" xfId="0" applyFont="1" applyBorder="1" applyAlignment="1"/>
    <xf numFmtId="0" fontId="0" fillId="0" borderId="29" xfId="0" applyFont="1" applyBorder="1" applyAlignment="1"/>
    <xf numFmtId="0" fontId="3" fillId="0" borderId="31" xfId="0" applyFont="1" applyBorder="1" applyAlignment="1">
      <alignment horizontal="left"/>
    </xf>
    <xf numFmtId="0" fontId="0" fillId="0" borderId="32" xfId="0" applyFont="1" applyBorder="1" applyAlignment="1"/>
    <xf numFmtId="14" fontId="0" fillId="0" borderId="34" xfId="0" applyNumberFormat="1" applyFont="1" applyBorder="1" applyAlignment="1"/>
    <xf numFmtId="0" fontId="14" fillId="5" borderId="20" xfId="0" applyFont="1" applyFill="1" applyBorder="1" applyAlignment="1">
      <alignment horizontal="left"/>
    </xf>
    <xf numFmtId="0" fontId="14" fillId="5" borderId="22" xfId="0" applyFont="1" applyFill="1" applyBorder="1" applyAlignment="1"/>
    <xf numFmtId="0" fontId="14" fillId="5" borderId="26" xfId="0" applyFont="1" applyFill="1" applyBorder="1" applyAlignment="1"/>
    <xf numFmtId="0" fontId="3" fillId="0" borderId="31" xfId="0" applyFont="1" applyBorder="1" applyAlignment="1"/>
    <xf numFmtId="0" fontId="14" fillId="5" borderId="20" xfId="0" applyFont="1" applyFill="1" applyBorder="1" applyAlignment="1"/>
    <xf numFmtId="0" fontId="0" fillId="0" borderId="13" xfId="0" applyFont="1" applyBorder="1" applyAlignment="1"/>
    <xf numFmtId="0" fontId="3" fillId="0" borderId="35" xfId="0" applyFont="1" applyBorder="1" applyAlignment="1"/>
    <xf numFmtId="0" fontId="0" fillId="0" borderId="30" xfId="0" applyFont="1" applyBorder="1" applyAlignment="1"/>
    <xf numFmtId="0" fontId="0" fillId="0" borderId="36" xfId="0" applyFont="1" applyBorder="1" applyAlignment="1"/>
    <xf numFmtId="0" fontId="0" fillId="0" borderId="35" xfId="0" applyFont="1" applyBorder="1" applyAlignment="1"/>
    <xf numFmtId="0" fontId="0" fillId="0" borderId="21" xfId="0" applyFont="1" applyBorder="1" applyAlignment="1"/>
    <xf numFmtId="0" fontId="3" fillId="0" borderId="15" xfId="0" applyFont="1" applyBorder="1" applyAlignment="1">
      <alignment horizontal="center"/>
    </xf>
    <xf numFmtId="0" fontId="15" fillId="0" borderId="0" xfId="0" applyFont="1" applyFill="1" applyAlignment="1"/>
    <xf numFmtId="0" fontId="0" fillId="0" borderId="0" xfId="0" applyFont="1" applyFill="1" applyAlignment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39" xfId="0" applyFont="1" applyBorder="1" applyAlignment="1">
      <alignment horizontal="center"/>
    </xf>
    <xf numFmtId="0" fontId="1" fillId="0" borderId="33" xfId="0" applyFont="1" applyBorder="1" applyAlignment="1"/>
    <xf numFmtId="0" fontId="0" fillId="0" borderId="12" xfId="0" applyFont="1" applyBorder="1" applyAlignment="1">
      <alignment horizontal="center"/>
    </xf>
    <xf numFmtId="164" fontId="0" fillId="0" borderId="0" xfId="0" applyNumberFormat="1" applyFont="1" applyAlignment="1"/>
    <xf numFmtId="164" fontId="0" fillId="4" borderId="40" xfId="0" applyNumberFormat="1" applyFont="1" applyFill="1" applyBorder="1" applyAlignment="1">
      <alignment horizontal="center" vertical="center"/>
    </xf>
    <xf numFmtId="164" fontId="0" fillId="6" borderId="40" xfId="0" applyNumberFormat="1" applyFont="1" applyFill="1" applyBorder="1" applyAlignment="1">
      <alignment horizontal="center" vertical="center"/>
    </xf>
    <xf numFmtId="164" fontId="0" fillId="7" borderId="40" xfId="0" applyNumberFormat="1" applyFont="1" applyFill="1" applyBorder="1" applyAlignment="1">
      <alignment horizontal="center" vertical="center"/>
    </xf>
    <xf numFmtId="164" fontId="0" fillId="8" borderId="40" xfId="0" applyNumberFormat="1" applyFont="1" applyFill="1" applyBorder="1" applyAlignment="1">
      <alignment horizontal="center" vertical="center"/>
    </xf>
    <xf numFmtId="164" fontId="0" fillId="0" borderId="12" xfId="0" applyNumberFormat="1" applyFont="1" applyBorder="1" applyAlignment="1"/>
    <xf numFmtId="0" fontId="0" fillId="0" borderId="0" xfId="0" applyFont="1" applyAlignment="1"/>
    <xf numFmtId="164" fontId="0" fillId="0" borderId="12" xfId="0" applyNumberFormat="1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40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5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33" xfId="0" applyFont="1" applyFill="1" applyBorder="1" applyAlignment="1">
      <alignment horizontal="center" vertical="center"/>
    </xf>
    <xf numFmtId="0" fontId="14" fillId="5" borderId="38" xfId="0" applyFont="1" applyFill="1" applyBorder="1" applyAlignment="1">
      <alignment horizontal="center" vertical="center"/>
    </xf>
    <xf numFmtId="0" fontId="14" fillId="5" borderId="27" xfId="0" applyFont="1" applyFill="1" applyBorder="1" applyAlignment="1">
      <alignment horizontal="center" vertic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</cellXfs>
  <cellStyles count="1">
    <cellStyle name="Normal" xfId="0" builtinId="0"/>
  </cellStyles>
  <dxfs count="2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K74"/>
  <sheetViews>
    <sheetView tabSelected="1" topLeftCell="A4" workbookViewId="0">
      <selection activeCell="C23" sqref="C23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2" customWidth="1"/>
    <col min="5" max="5" width="4" customWidth="1"/>
    <col min="6" max="6" width="24" style="75" customWidth="1"/>
    <col min="7" max="10" width="9.140625" style="79"/>
  </cols>
  <sheetData>
    <row r="1" spans="1:11" ht="15.75" customHeight="1" thickBot="1" x14ac:dyDescent="0.3"/>
    <row r="2" spans="1:11" ht="15.75" customHeight="1" thickBot="1" x14ac:dyDescent="0.3">
      <c r="A2" s="61" t="s">
        <v>3</v>
      </c>
      <c r="B2" s="64"/>
      <c r="E2" s="87" t="s">
        <v>89</v>
      </c>
      <c r="F2" s="87" t="s">
        <v>90</v>
      </c>
      <c r="G2" s="86" t="s">
        <v>91</v>
      </c>
      <c r="H2" s="86"/>
      <c r="I2" s="86"/>
      <c r="J2" s="86"/>
    </row>
    <row r="3" spans="1:11" ht="15" customHeight="1" x14ac:dyDescent="0.25">
      <c r="A3" s="60" t="s">
        <v>62</v>
      </c>
      <c r="B3" s="65" t="s">
        <v>64</v>
      </c>
      <c r="E3" s="87"/>
      <c r="F3" s="88"/>
      <c r="G3" s="80" t="s">
        <v>71</v>
      </c>
      <c r="H3" s="81" t="s">
        <v>79</v>
      </c>
      <c r="I3" s="82" t="s">
        <v>13</v>
      </c>
      <c r="J3" s="83" t="s">
        <v>72</v>
      </c>
    </row>
    <row r="4" spans="1:11" ht="15.75" customHeight="1" x14ac:dyDescent="0.25">
      <c r="A4" s="62" t="s">
        <v>63</v>
      </c>
      <c r="B4" s="46" t="s">
        <v>92</v>
      </c>
      <c r="E4" s="76">
        <v>1</v>
      </c>
      <c r="F4" s="78"/>
      <c r="G4" s="84"/>
      <c r="H4" s="84"/>
      <c r="I4" s="84"/>
      <c r="J4" s="84"/>
      <c r="K4" s="72"/>
    </row>
    <row r="5" spans="1:11" ht="15.75" thickBot="1" x14ac:dyDescent="0.3">
      <c r="A5" s="47" t="s">
        <v>65</v>
      </c>
      <c r="B5" s="67" t="s">
        <v>92</v>
      </c>
      <c r="E5" s="76">
        <v>2</v>
      </c>
      <c r="F5" s="78"/>
      <c r="G5" s="84"/>
      <c r="H5" s="84"/>
      <c r="I5" s="84"/>
      <c r="J5" s="84"/>
      <c r="K5" s="72"/>
    </row>
    <row r="6" spans="1:11" x14ac:dyDescent="0.25">
      <c r="A6" s="63" t="s">
        <v>66</v>
      </c>
      <c r="B6" s="69"/>
      <c r="E6" s="76">
        <v>3</v>
      </c>
      <c r="F6" s="78"/>
      <c r="G6" s="84"/>
      <c r="H6" s="84"/>
      <c r="I6" s="84"/>
      <c r="J6" s="84"/>
      <c r="K6" s="72"/>
    </row>
    <row r="7" spans="1:11" x14ac:dyDescent="0.25">
      <c r="A7" s="62" t="s">
        <v>67</v>
      </c>
      <c r="B7" s="66" t="s">
        <v>92</v>
      </c>
      <c r="E7" s="76">
        <v>4</v>
      </c>
      <c r="F7" s="78"/>
      <c r="G7" s="84"/>
      <c r="H7" s="84"/>
      <c r="I7" s="84"/>
      <c r="J7" s="84"/>
      <c r="K7" s="72"/>
    </row>
    <row r="8" spans="1:11" ht="15.75" thickBot="1" x14ac:dyDescent="0.3">
      <c r="A8" s="47" t="s">
        <v>87</v>
      </c>
      <c r="B8" s="67" t="s">
        <v>92</v>
      </c>
      <c r="E8" s="76">
        <v>5</v>
      </c>
      <c r="F8" s="78"/>
      <c r="G8" s="84"/>
      <c r="H8" s="84"/>
      <c r="I8" s="84"/>
      <c r="J8" s="84"/>
      <c r="K8" s="72"/>
    </row>
    <row r="9" spans="1:11" x14ac:dyDescent="0.25">
      <c r="A9" s="63" t="s">
        <v>68</v>
      </c>
      <c r="B9" s="68"/>
      <c r="E9" s="76">
        <v>6</v>
      </c>
      <c r="F9" s="78"/>
      <c r="G9" s="84"/>
      <c r="H9" s="84"/>
      <c r="I9" s="84"/>
      <c r="J9" s="84"/>
      <c r="K9" s="72"/>
    </row>
    <row r="10" spans="1:11" x14ac:dyDescent="0.25">
      <c r="A10" s="62" t="s">
        <v>69</v>
      </c>
      <c r="B10" s="66" t="s">
        <v>92</v>
      </c>
      <c r="E10" s="76">
        <v>7</v>
      </c>
      <c r="F10" s="78"/>
      <c r="G10" s="84"/>
      <c r="H10" s="84"/>
      <c r="I10" s="84"/>
      <c r="J10" s="84"/>
      <c r="K10" s="72"/>
    </row>
    <row r="11" spans="1:11" ht="15.75" customHeight="1" thickBot="1" x14ac:dyDescent="0.3">
      <c r="A11" s="49" t="s">
        <v>70</v>
      </c>
      <c r="B11" s="67" t="s">
        <v>92</v>
      </c>
      <c r="E11" s="76">
        <v>8</v>
      </c>
      <c r="F11" s="78"/>
      <c r="G11" s="84"/>
      <c r="H11" s="84"/>
      <c r="I11" s="84"/>
      <c r="J11" s="84"/>
      <c r="K11" s="72"/>
    </row>
    <row r="12" spans="1:11" ht="15" customHeight="1" x14ac:dyDescent="0.25">
      <c r="A12" s="89" t="s">
        <v>41</v>
      </c>
      <c r="B12" s="91" t="s">
        <v>77</v>
      </c>
      <c r="C12" s="93" t="s">
        <v>78</v>
      </c>
      <c r="E12" s="76">
        <v>9</v>
      </c>
      <c r="F12" s="78"/>
      <c r="G12" s="84"/>
      <c r="H12" s="84"/>
      <c r="I12" s="84"/>
      <c r="J12" s="84"/>
      <c r="K12" s="72"/>
    </row>
    <row r="13" spans="1:11" s="39" customFormat="1" ht="15" customHeight="1" x14ac:dyDescent="0.25">
      <c r="A13" s="90"/>
      <c r="B13" s="92"/>
      <c r="C13" s="94"/>
      <c r="D13" s="72"/>
      <c r="E13" s="76">
        <v>10</v>
      </c>
      <c r="F13" s="78"/>
      <c r="G13" s="84"/>
      <c r="H13" s="84"/>
      <c r="I13" s="84"/>
      <c r="J13" s="84"/>
      <c r="K13" s="72"/>
    </row>
    <row r="14" spans="1:11" ht="15.75" customHeight="1" x14ac:dyDescent="0.25">
      <c r="A14" s="70" t="s">
        <v>71</v>
      </c>
      <c r="B14" s="46" t="s">
        <v>80</v>
      </c>
      <c r="C14" s="52">
        <v>45808</v>
      </c>
      <c r="E14" s="76">
        <v>11</v>
      </c>
      <c r="F14" s="78"/>
      <c r="G14" s="84"/>
      <c r="H14" s="84"/>
      <c r="I14" s="84"/>
      <c r="J14" s="84"/>
      <c r="K14" s="72"/>
    </row>
    <row r="15" spans="1:11" x14ac:dyDescent="0.25">
      <c r="A15" s="73" t="s">
        <v>13</v>
      </c>
      <c r="B15" s="46" t="s">
        <v>81</v>
      </c>
      <c r="C15" s="52">
        <v>45716</v>
      </c>
      <c r="E15" s="76">
        <v>12</v>
      </c>
      <c r="F15" s="78"/>
      <c r="G15" s="84"/>
      <c r="H15" s="84"/>
      <c r="I15" s="84"/>
      <c r="J15" s="84"/>
    </row>
    <row r="16" spans="1:11" ht="15" customHeight="1" x14ac:dyDescent="0.25">
      <c r="A16" s="73" t="s">
        <v>72</v>
      </c>
      <c r="B16" s="46" t="s">
        <v>82</v>
      </c>
      <c r="C16" s="52">
        <v>45688</v>
      </c>
      <c r="E16" s="76">
        <v>13</v>
      </c>
      <c r="F16" s="78"/>
      <c r="G16" s="84"/>
      <c r="H16" s="84"/>
      <c r="I16" s="84"/>
      <c r="J16" s="84"/>
    </row>
    <row r="17" spans="1:10" ht="15.75" customHeight="1" thickBot="1" x14ac:dyDescent="0.3">
      <c r="A17" s="74" t="s">
        <v>88</v>
      </c>
      <c r="B17" s="51" t="s">
        <v>83</v>
      </c>
      <c r="C17" s="53">
        <v>46142</v>
      </c>
      <c r="E17" s="76">
        <v>14</v>
      </c>
      <c r="F17" s="78"/>
      <c r="G17" s="84"/>
      <c r="H17" s="84"/>
      <c r="I17" s="84"/>
      <c r="J17" s="84"/>
    </row>
    <row r="18" spans="1:10" ht="15" customHeight="1" x14ac:dyDescent="0.25">
      <c r="A18" s="59" t="s">
        <v>84</v>
      </c>
      <c r="B18" s="54"/>
      <c r="C18" s="55"/>
      <c r="E18" s="76">
        <v>15</v>
      </c>
      <c r="F18" s="78"/>
      <c r="G18" s="84"/>
      <c r="H18" s="84"/>
      <c r="I18" s="84"/>
      <c r="J18" s="84"/>
    </row>
    <row r="19" spans="1:10" ht="15.75" customHeight="1" x14ac:dyDescent="0.25">
      <c r="A19" s="56" t="s">
        <v>85</v>
      </c>
      <c r="B19" s="77"/>
      <c r="C19" s="57"/>
    </row>
    <row r="20" spans="1:10" ht="15.75" thickBot="1" x14ac:dyDescent="0.3">
      <c r="A20" s="50" t="s">
        <v>86</v>
      </c>
      <c r="B20" s="58"/>
      <c r="C20" s="48"/>
    </row>
    <row r="21" spans="1:10" ht="15" customHeight="1" x14ac:dyDescent="0.25"/>
    <row r="22" spans="1:10" ht="15" customHeight="1" x14ac:dyDescent="0.25">
      <c r="B22" s="85"/>
    </row>
    <row r="23" spans="1:10" ht="15" customHeight="1" x14ac:dyDescent="0.25">
      <c r="B23" s="85"/>
    </row>
    <row r="24" spans="1:10" ht="15.75" customHeight="1" x14ac:dyDescent="0.25"/>
    <row r="26" spans="1:10" ht="15" customHeight="1" x14ac:dyDescent="0.25"/>
    <row r="27" spans="1:10" ht="15" customHeight="1" x14ac:dyDescent="0.25"/>
    <row r="28" spans="1:10" ht="15" customHeight="1" x14ac:dyDescent="0.25"/>
    <row r="29" spans="1:10" ht="15.75" customHeight="1" x14ac:dyDescent="0.25"/>
    <row r="31" spans="1:10" ht="15" customHeight="1" x14ac:dyDescent="0.25"/>
    <row r="32" spans="1:10" ht="15" customHeight="1" x14ac:dyDescent="0.25"/>
    <row r="33" ht="15" customHeight="1" x14ac:dyDescent="0.25"/>
    <row r="34" ht="15.75" customHeight="1" x14ac:dyDescent="0.25"/>
    <row r="36" ht="15" customHeight="1" x14ac:dyDescent="0.25"/>
    <row r="37" ht="15" customHeight="1" x14ac:dyDescent="0.25"/>
    <row r="38" ht="15" customHeight="1" x14ac:dyDescent="0.25"/>
    <row r="39" ht="15.75" customHeight="1" x14ac:dyDescent="0.25"/>
    <row r="41" ht="15" customHeight="1" x14ac:dyDescent="0.25"/>
    <row r="42" ht="15" customHeight="1" x14ac:dyDescent="0.25"/>
    <row r="43" ht="15" customHeight="1" x14ac:dyDescent="0.25"/>
    <row r="44" ht="15.75" customHeight="1" x14ac:dyDescent="0.25"/>
    <row r="46" ht="15" customHeight="1" x14ac:dyDescent="0.25"/>
    <row r="47" ht="15" customHeight="1" x14ac:dyDescent="0.25"/>
    <row r="48" ht="15" customHeight="1" x14ac:dyDescent="0.25"/>
    <row r="49" spans="5:5" ht="15.75" customHeight="1" x14ac:dyDescent="0.25"/>
    <row r="50" spans="5:5" x14ac:dyDescent="0.25">
      <c r="E50" s="71"/>
    </row>
    <row r="51" spans="5:5" ht="15" customHeight="1" x14ac:dyDescent="0.25"/>
    <row r="52" spans="5:5" ht="15" customHeight="1" x14ac:dyDescent="0.25"/>
    <row r="53" spans="5:5" ht="15" customHeight="1" x14ac:dyDescent="0.25"/>
    <row r="54" spans="5:5" ht="15.75" customHeight="1" x14ac:dyDescent="0.25"/>
    <row r="56" spans="5:5" ht="15" customHeight="1" x14ac:dyDescent="0.25"/>
    <row r="57" spans="5:5" ht="15" customHeight="1" x14ac:dyDescent="0.25"/>
    <row r="58" spans="5:5" ht="15" customHeight="1" x14ac:dyDescent="0.25"/>
    <row r="59" spans="5:5" ht="15.75" customHeight="1" x14ac:dyDescent="0.25"/>
    <row r="61" spans="5:5" ht="15" customHeight="1" x14ac:dyDescent="0.25"/>
    <row r="62" spans="5:5" ht="15" customHeight="1" x14ac:dyDescent="0.25"/>
    <row r="63" spans="5:5" ht="15" customHeight="1" x14ac:dyDescent="0.25"/>
    <row r="64" spans="5:5" ht="15.75" customHeight="1" x14ac:dyDescent="0.25"/>
    <row r="66" ht="15" customHeight="1" x14ac:dyDescent="0.25"/>
    <row r="67" ht="15" customHeight="1" x14ac:dyDescent="0.25"/>
    <row r="68" ht="15" customHeight="1" x14ac:dyDescent="0.25"/>
    <row r="69" ht="15.75" customHeight="1" x14ac:dyDescent="0.25"/>
    <row r="71" ht="15" customHeight="1" x14ac:dyDescent="0.25"/>
    <row r="72" ht="15" customHeight="1" x14ac:dyDescent="0.25"/>
    <row r="73" ht="15" customHeight="1" x14ac:dyDescent="0.25"/>
    <row r="74" ht="15.75" customHeight="1" x14ac:dyDescent="0.25"/>
  </sheetData>
  <mergeCells count="6">
    <mergeCell ref="G2:J2"/>
    <mergeCell ref="F2:F3"/>
    <mergeCell ref="E2:E3"/>
    <mergeCell ref="A12:A13"/>
    <mergeCell ref="B12:B13"/>
    <mergeCell ref="C12:C13"/>
  </mergeCells>
  <conditionalFormatting sqref="B4">
    <cfRule type="cellIs" dxfId="22" priority="7" operator="equal">
      <formula>"Sila Pilih"</formula>
    </cfRule>
    <cfRule type="cellIs" dxfId="21" priority="99" operator="equal">
      <formula>FALSE</formula>
    </cfRule>
    <cfRule type="cellIs" dxfId="20" priority="100" operator="equal">
      <formula>TRUE</formula>
    </cfRule>
  </conditionalFormatting>
  <conditionalFormatting sqref="B5">
    <cfRule type="cellIs" dxfId="19" priority="6" operator="equal">
      <formula>"Sila Pilih"</formula>
    </cfRule>
    <cfRule type="cellIs" dxfId="18" priority="97" operator="equal">
      <formula>FALSE</formula>
    </cfRule>
    <cfRule type="cellIs" dxfId="17" priority="98" operator="equal">
      <formula>TRUE</formula>
    </cfRule>
  </conditionalFormatting>
  <conditionalFormatting sqref="B7">
    <cfRule type="cellIs" dxfId="16" priority="5" operator="equal">
      <formula>"Sila Pilih"</formula>
    </cfRule>
    <cfRule type="cellIs" dxfId="15" priority="95" operator="equal">
      <formula>FALSE</formula>
    </cfRule>
    <cfRule type="cellIs" dxfId="14" priority="96" operator="equal">
      <formula>TRUE</formula>
    </cfRule>
  </conditionalFormatting>
  <conditionalFormatting sqref="B8">
    <cfRule type="cellIs" dxfId="13" priority="4" operator="equal">
      <formula>"Sila Pilih"</formula>
    </cfRule>
    <cfRule type="cellIs" dxfId="12" priority="93" operator="equal">
      <formula>FALSE</formula>
    </cfRule>
    <cfRule type="cellIs" dxfId="11" priority="94" operator="equal">
      <formula>TRUE</formula>
    </cfRule>
  </conditionalFormatting>
  <conditionalFormatting sqref="B10">
    <cfRule type="cellIs" dxfId="10" priority="3" operator="equal">
      <formula>"Sila Pilih"</formula>
    </cfRule>
    <cfRule type="cellIs" dxfId="9" priority="91" operator="equal">
      <formula>FALSE</formula>
    </cfRule>
    <cfRule type="cellIs" dxfId="8" priority="92" operator="equal">
      <formula>TRUE</formula>
    </cfRule>
  </conditionalFormatting>
  <conditionalFormatting sqref="B11">
    <cfRule type="cellIs" dxfId="7" priority="2" operator="equal">
      <formula>"Sila Pilih"</formula>
    </cfRule>
    <cfRule type="cellIs" dxfId="6" priority="89" operator="equal">
      <formula>FALSE</formula>
    </cfRule>
    <cfRule type="cellIs" dxfId="5" priority="90" operator="equal">
      <formula>TRUE</formula>
    </cfRule>
  </conditionalFormatting>
  <conditionalFormatting sqref="B2">
    <cfRule type="expression" dxfId="4" priority="88">
      <formula>LEN(B2)=0</formula>
    </cfRule>
  </conditionalFormatting>
  <conditionalFormatting sqref="B14:C17">
    <cfRule type="expression" dxfId="3" priority="87">
      <formula>LEN(B14:C17)=0</formula>
    </cfRule>
  </conditionalFormatting>
  <conditionalFormatting sqref="B19">
    <cfRule type="expression" dxfId="2" priority="86">
      <formula>LEN(B19)=0</formula>
    </cfRule>
  </conditionalFormatting>
  <conditionalFormatting sqref="B20">
    <cfRule type="expression" dxfId="1" priority="85">
      <formula>LEN(B20)=0</formula>
    </cfRule>
  </conditionalFormatting>
  <conditionalFormatting sqref="F4:J18">
    <cfRule type="expression" dxfId="0" priority="1">
      <formula>LEN(F4)=0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topLeftCell="A31" zoomScale="112" zoomScaleNormal="100" zoomScalePageLayoutView="112" workbookViewId="0">
      <selection activeCell="I13" sqref="I1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FormSampel!F4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5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3"/>
      <c r="B17" s="2"/>
      <c r="C17" s="13"/>
      <c r="D17" s="13"/>
      <c r="E17" s="13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FormSampel!G4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FormSampel!H4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FormSampel!I4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FormSampel!J4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FormSampel!F5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FormSampel!G5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FormSampel!H5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FormSampel!I5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FormSampel!J5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FormSampel!F6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FormSampel!G6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FormSampel!H6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FormSampel!I6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FormSampel!J6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FormSampel!F7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FormSampel!G7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FormSampel!H7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FormSampel!I7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FormSampel!J7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FormSampel!F8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FormSampel!G8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FormSampel!H8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FormSampel!I8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FormSampel!J8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FormSampel!F9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FormSampel!G9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FormSampel!H9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FormSampel!I9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FormSampel!J9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FormSampel!F10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FormSampel!G10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FormSampel!H10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FormSampel!I10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FormSampel!J10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FormSampel!F11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FormSampel!G11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FormSampel!H11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FormSampel!I11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FormSampel!J11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FormSampel!F12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FormSampel!G12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FormSampel!H12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FormSampel!I12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FormSampel!J12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FormSampel!F13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FormSampel!G13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FormSampel!H13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FormSampel!I13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FormSampel!J13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FormSampel!F14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FormSampel!G14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FormSampel!H14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FormSampel!I14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FormSampel!J14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FormSampel!F15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FormSampel!G15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FormSampel!H15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FormSampel!I15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FormSampel!J15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FormSampel!F16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FormSampel!G16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FormSampel!H16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FormSampel!I16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FormSampel!J16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FormSampel!F17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FormSampel!G17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FormSampel!H17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FormSampel!I17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FormSampel!J17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zoomScale="112" zoomScaleNormal="100" zoomScalePageLayoutView="112" workbookViewId="0">
      <selection activeCell="A5" sqref="A5:J5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5" t="s">
        <v>0</v>
      </c>
      <c r="B1" s="126"/>
      <c r="C1" s="126"/>
      <c r="D1" s="126"/>
      <c r="E1" s="126"/>
      <c r="F1" s="126"/>
      <c r="G1" s="126"/>
      <c r="H1" s="126"/>
      <c r="I1" s="126"/>
      <c r="J1" s="127"/>
    </row>
    <row r="2" spans="1:26" x14ac:dyDescent="0.25">
      <c r="A2" s="125" t="s">
        <v>1</v>
      </c>
      <c r="B2" s="126"/>
      <c r="C2" s="126"/>
      <c r="D2" s="126"/>
      <c r="E2" s="126"/>
      <c r="F2" s="126"/>
      <c r="G2" s="126"/>
      <c r="H2" s="126"/>
      <c r="I2" s="126"/>
      <c r="J2" s="127"/>
    </row>
    <row r="3" spans="1:26" x14ac:dyDescent="0.25">
      <c r="A3" s="128" t="s">
        <v>2</v>
      </c>
      <c r="B3" s="126"/>
      <c r="C3" s="127"/>
      <c r="D3" s="129">
        <f>FormSampel!F18</f>
        <v>0</v>
      </c>
      <c r="E3" s="126"/>
      <c r="F3" s="126"/>
      <c r="G3" s="126"/>
      <c r="H3" s="126"/>
      <c r="I3" s="126"/>
      <c r="J3" s="127"/>
    </row>
    <row r="4" spans="1:26" x14ac:dyDescent="0.25">
      <c r="A4" s="128" t="s">
        <v>3</v>
      </c>
      <c r="B4" s="126"/>
      <c r="C4" s="127"/>
      <c r="D4" s="129">
        <f>FormSampel!B2</f>
        <v>0</v>
      </c>
      <c r="E4" s="126"/>
      <c r="F4" s="126"/>
      <c r="G4" s="126"/>
      <c r="H4" s="126"/>
      <c r="I4" s="126"/>
      <c r="J4" s="127"/>
    </row>
    <row r="5" spans="1:26" ht="15" customHeight="1" x14ac:dyDescent="0.25">
      <c r="A5" s="130" t="s">
        <v>93</v>
      </c>
      <c r="B5" s="126"/>
      <c r="C5" s="126"/>
      <c r="D5" s="126"/>
      <c r="E5" s="126"/>
      <c r="F5" s="126"/>
      <c r="G5" s="126"/>
      <c r="H5" s="126"/>
      <c r="I5" s="126"/>
      <c r="J5" s="12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0" t="s">
        <v>4</v>
      </c>
      <c r="B6" s="126"/>
      <c r="C6" s="126"/>
      <c r="D6" s="126"/>
      <c r="E6" s="126"/>
      <c r="F6" s="126"/>
      <c r="G6" s="126"/>
      <c r="H6" s="126"/>
      <c r="I6" s="126"/>
      <c r="J6" s="127"/>
    </row>
    <row r="7" spans="1:26" ht="30" customHeight="1" x14ac:dyDescent="0.25">
      <c r="A7" s="131" t="s">
        <v>5</v>
      </c>
      <c r="B7" s="121"/>
      <c r="C7" s="132" t="s">
        <v>6</v>
      </c>
      <c r="D7" s="121"/>
      <c r="E7" s="121"/>
      <c r="F7" s="42" t="s">
        <v>7</v>
      </c>
      <c r="G7" s="120" t="s">
        <v>8</v>
      </c>
      <c r="H7" s="121"/>
      <c r="I7" s="121"/>
      <c r="J7" s="122"/>
    </row>
    <row r="8" spans="1:26" ht="15" customHeight="1" x14ac:dyDescent="0.25">
      <c r="A8" s="133" t="s">
        <v>9</v>
      </c>
      <c r="B8" s="115"/>
      <c r="C8" s="134" t="s">
        <v>10</v>
      </c>
      <c r="D8" s="115"/>
      <c r="E8" s="4"/>
      <c r="F8" s="38" t="s">
        <v>11</v>
      </c>
      <c r="G8" s="6" t="s">
        <v>12</v>
      </c>
      <c r="H8" s="6" t="s">
        <v>13</v>
      </c>
      <c r="I8" s="123"/>
      <c r="J8" s="124"/>
    </row>
    <row r="9" spans="1:26" ht="30" customHeight="1" x14ac:dyDescent="0.25">
      <c r="A9" s="135" t="s">
        <v>14</v>
      </c>
      <c r="B9" s="115"/>
      <c r="C9" s="134" t="s">
        <v>15</v>
      </c>
      <c r="D9" s="115"/>
      <c r="E9" s="7"/>
      <c r="F9" s="42" t="s">
        <v>16</v>
      </c>
      <c r="G9" s="8" t="s">
        <v>17</v>
      </c>
      <c r="H9" s="8" t="s">
        <v>18</v>
      </c>
      <c r="I9" s="9"/>
      <c r="J9" s="10"/>
    </row>
    <row r="10" spans="1:26" ht="15" customHeight="1" x14ac:dyDescent="0.25">
      <c r="A10" s="133" t="s">
        <v>19</v>
      </c>
      <c r="B10" s="115"/>
      <c r="C10" s="134" t="s">
        <v>20</v>
      </c>
      <c r="D10" s="115"/>
      <c r="E10" s="7"/>
      <c r="F10" s="42" t="s">
        <v>21</v>
      </c>
      <c r="G10" s="8" t="s">
        <v>22</v>
      </c>
      <c r="H10" s="8" t="s">
        <v>23</v>
      </c>
      <c r="I10" s="11"/>
      <c r="J10" s="10"/>
    </row>
    <row r="11" spans="1:26" ht="30" customHeight="1" x14ac:dyDescent="0.25">
      <c r="A11" s="135" t="s">
        <v>24</v>
      </c>
      <c r="B11" s="115"/>
      <c r="C11" s="138" t="s">
        <v>25</v>
      </c>
      <c r="D11" s="115"/>
      <c r="E11" s="7"/>
      <c r="F11" s="42" t="s">
        <v>26</v>
      </c>
      <c r="G11" s="8" t="s">
        <v>27</v>
      </c>
      <c r="H11" s="8" t="s">
        <v>28</v>
      </c>
      <c r="I11" s="11"/>
      <c r="J11" s="10"/>
    </row>
    <row r="12" spans="1:26" ht="15" customHeight="1" x14ac:dyDescent="0.25">
      <c r="A12" s="133" t="s">
        <v>29</v>
      </c>
      <c r="B12" s="115"/>
      <c r="C12" s="134" t="s">
        <v>30</v>
      </c>
      <c r="D12" s="115"/>
      <c r="E12" s="7"/>
      <c r="F12" s="42" t="s">
        <v>31</v>
      </c>
      <c r="G12" s="8" t="s">
        <v>32</v>
      </c>
      <c r="H12" s="8" t="s">
        <v>33</v>
      </c>
      <c r="I12" s="9"/>
      <c r="J12" s="10"/>
    </row>
    <row r="13" spans="1:26" ht="30" x14ac:dyDescent="0.25">
      <c r="A13" s="133" t="s">
        <v>34</v>
      </c>
      <c r="B13" s="115"/>
      <c r="C13" s="134" t="s">
        <v>35</v>
      </c>
      <c r="D13" s="115"/>
      <c r="E13" s="7"/>
      <c r="F13" s="42" t="s">
        <v>36</v>
      </c>
      <c r="G13" s="8" t="s">
        <v>37</v>
      </c>
      <c r="H13" s="8" t="s">
        <v>38</v>
      </c>
      <c r="I13" s="11"/>
      <c r="J13" s="12"/>
    </row>
    <row r="14" spans="1:26" ht="15" customHeight="1" x14ac:dyDescent="0.25">
      <c r="A14" s="133" t="s">
        <v>39</v>
      </c>
      <c r="B14" s="115"/>
      <c r="C14" s="134" t="s">
        <v>40</v>
      </c>
      <c r="D14" s="115"/>
      <c r="E14" s="7"/>
      <c r="F14" s="136" t="s">
        <v>41</v>
      </c>
      <c r="G14" s="115"/>
      <c r="H14" s="115"/>
      <c r="I14" s="137" t="s">
        <v>42</v>
      </c>
      <c r="J14" s="124"/>
    </row>
    <row r="15" spans="1:26" ht="15" customHeight="1" x14ac:dyDescent="0.25">
      <c r="A15" s="133" t="s">
        <v>43</v>
      </c>
      <c r="B15" s="115"/>
      <c r="C15" s="134" t="s">
        <v>44</v>
      </c>
      <c r="D15" s="115"/>
      <c r="E15" s="7"/>
      <c r="F15" s="43" t="s">
        <v>73</v>
      </c>
      <c r="G15" s="140" t="str">
        <f>FormSampel!B14</f>
        <v>HC 16350373 - 2</v>
      </c>
      <c r="H15" s="140"/>
      <c r="I15" s="95">
        <f>FormSampel!C14</f>
        <v>45808</v>
      </c>
      <c r="J15" s="96"/>
    </row>
    <row r="16" spans="1:26" ht="15" customHeight="1" x14ac:dyDescent="0.25">
      <c r="A16" s="133" t="s">
        <v>45</v>
      </c>
      <c r="B16" s="115"/>
      <c r="C16" s="139" t="s">
        <v>46</v>
      </c>
      <c r="D16" s="115"/>
      <c r="E16" s="115"/>
      <c r="F16" s="44" t="s">
        <v>74</v>
      </c>
      <c r="G16" s="103" t="str">
        <f>FormSampel!B15</f>
        <v>HC 15161426 - 2</v>
      </c>
      <c r="H16" s="103"/>
      <c r="I16" s="95">
        <f>FormSampel!C15</f>
        <v>45716</v>
      </c>
      <c r="J16" s="96"/>
    </row>
    <row r="17" spans="1:26" ht="15" customHeight="1" x14ac:dyDescent="0.25">
      <c r="A17" s="40"/>
      <c r="B17" s="42"/>
      <c r="C17" s="41"/>
      <c r="D17" s="41"/>
      <c r="E17" s="41"/>
      <c r="F17" s="44" t="s">
        <v>75</v>
      </c>
      <c r="G17" s="103" t="str">
        <f>FormSampel!B16</f>
        <v>HC 14813176 - 2</v>
      </c>
      <c r="H17" s="103"/>
      <c r="I17" s="95">
        <f>FormSampel!C16</f>
        <v>45688</v>
      </c>
      <c r="J17" s="96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76</v>
      </c>
      <c r="G18" s="102" t="str">
        <f>FormSampel!B17</f>
        <v>HC 28942277 - 2</v>
      </c>
      <c r="H18" s="102"/>
      <c r="I18" s="97">
        <f>FormSampel!C17</f>
        <v>46142</v>
      </c>
      <c r="J18" s="98"/>
    </row>
    <row r="19" spans="1:26" x14ac:dyDescent="0.25">
      <c r="A19" s="99" t="s">
        <v>47</v>
      </c>
      <c r="B19" s="100"/>
      <c r="C19" s="100"/>
      <c r="D19" s="100"/>
      <c r="E19" s="100"/>
      <c r="F19" s="100"/>
      <c r="G19" s="100"/>
      <c r="H19" s="100"/>
      <c r="I19" s="100"/>
      <c r="J19" s="101"/>
    </row>
    <row r="20" spans="1:26" ht="26.25" customHeight="1" x14ac:dyDescent="0.25">
      <c r="A20" s="104" t="s">
        <v>48</v>
      </c>
      <c r="B20" s="105"/>
      <c r="C20" s="29">
        <f>FormSampel!G18</f>
        <v>0</v>
      </c>
      <c r="D20" s="30" t="s">
        <v>49</v>
      </c>
      <c r="E20" s="31">
        <v>1000</v>
      </c>
      <c r="F20" s="106" t="s">
        <v>50</v>
      </c>
      <c r="G20" s="105"/>
      <c r="H20" s="107" t="str">
        <f>IF(AND(C21&lt;0.15),"&lt;0.15",C21)</f>
        <v>&lt;0.15</v>
      </c>
      <c r="I20" s="108"/>
      <c r="J20" s="32" t="s">
        <v>51</v>
      </c>
    </row>
    <row r="21" spans="1:26" ht="15.75" customHeight="1" x14ac:dyDescent="0.25">
      <c r="A21" s="33" t="s">
        <v>52</v>
      </c>
      <c r="B21" s="34"/>
      <c r="C21" s="109">
        <f>C20/1000</f>
        <v>0</v>
      </c>
      <c r="D21" s="110"/>
      <c r="E21" s="35"/>
      <c r="F21" s="34"/>
      <c r="G21" s="34"/>
      <c r="H21" s="34"/>
      <c r="I21" s="34"/>
      <c r="J21" s="32"/>
    </row>
    <row r="22" spans="1:26" ht="15.75" customHeight="1" x14ac:dyDescent="0.25">
      <c r="A22" s="111" t="s">
        <v>55</v>
      </c>
      <c r="B22" s="112"/>
      <c r="C22" s="112"/>
      <c r="D22" s="112"/>
      <c r="E22" s="112"/>
      <c r="F22" s="112"/>
      <c r="G22" s="112"/>
      <c r="H22" s="112"/>
      <c r="I22" s="112"/>
      <c r="J22" s="113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4" t="s">
        <v>48</v>
      </c>
      <c r="B23" s="105"/>
      <c r="C23" s="29">
        <f>FormSampel!H18</f>
        <v>0</v>
      </c>
      <c r="D23" s="30" t="s">
        <v>49</v>
      </c>
      <c r="E23" s="36">
        <v>1000</v>
      </c>
      <c r="F23" s="106" t="s">
        <v>50</v>
      </c>
      <c r="G23" s="105"/>
      <c r="H23" s="107" t="str">
        <f>IF(C24&lt;0.15,"&lt;0.15",C24)</f>
        <v>&lt;0.15</v>
      </c>
      <c r="I23" s="108"/>
      <c r="J23" s="32" t="s">
        <v>51</v>
      </c>
    </row>
    <row r="24" spans="1:26" ht="15.75" customHeight="1" x14ac:dyDescent="0.25">
      <c r="A24" s="33" t="s">
        <v>52</v>
      </c>
      <c r="B24" s="34"/>
      <c r="C24" s="109">
        <f>C23/1000</f>
        <v>0</v>
      </c>
      <c r="D24" s="110"/>
      <c r="E24" s="35"/>
      <c r="F24" s="34"/>
      <c r="G24" s="34"/>
      <c r="H24" s="34"/>
      <c r="I24" s="34"/>
      <c r="J24" s="32"/>
    </row>
    <row r="25" spans="1:26" ht="15.75" customHeight="1" x14ac:dyDescent="0.25">
      <c r="A25" s="111" t="s">
        <v>53</v>
      </c>
      <c r="B25" s="112"/>
      <c r="C25" s="112"/>
      <c r="D25" s="112"/>
      <c r="E25" s="112"/>
      <c r="F25" s="112"/>
      <c r="G25" s="112"/>
      <c r="H25" s="112"/>
      <c r="I25" s="112"/>
      <c r="J25" s="113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4" t="s">
        <v>48</v>
      </c>
      <c r="B26" s="115"/>
      <c r="C26" s="29">
        <f>FormSampel!I18</f>
        <v>0</v>
      </c>
      <c r="D26" s="30" t="s">
        <v>49</v>
      </c>
      <c r="E26" s="36">
        <v>1000</v>
      </c>
      <c r="F26" s="116" t="s">
        <v>50</v>
      </c>
      <c r="G26" s="105"/>
      <c r="H26" s="107" t="str">
        <f>IF(AND(C27&lt;0.15),"&lt;0.15",C27)</f>
        <v>&lt;0.15</v>
      </c>
      <c r="I26" s="108"/>
      <c r="J26" s="37" t="s">
        <v>51</v>
      </c>
    </row>
    <row r="27" spans="1:26" ht="15.75" customHeight="1" x14ac:dyDescent="0.25">
      <c r="A27" s="33" t="s">
        <v>52</v>
      </c>
      <c r="B27" s="34"/>
      <c r="C27" s="117">
        <f>C26/1000</f>
        <v>0</v>
      </c>
      <c r="D27" s="118"/>
      <c r="E27" s="35"/>
      <c r="F27" s="34"/>
      <c r="G27" s="34"/>
      <c r="H27" s="34"/>
      <c r="I27" s="34"/>
      <c r="J27" s="32"/>
    </row>
    <row r="28" spans="1:26" ht="15.75" customHeight="1" x14ac:dyDescent="0.25">
      <c r="A28" s="111" t="s">
        <v>54</v>
      </c>
      <c r="B28" s="112"/>
      <c r="C28" s="112"/>
      <c r="D28" s="112"/>
      <c r="E28" s="112"/>
      <c r="F28" s="112"/>
      <c r="G28" s="112"/>
      <c r="H28" s="112"/>
      <c r="I28" s="112"/>
      <c r="J28" s="113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4" t="s">
        <v>48</v>
      </c>
      <c r="B29" s="115"/>
      <c r="C29" s="29">
        <f>FormSampel!J18</f>
        <v>0</v>
      </c>
      <c r="D29" s="30" t="s">
        <v>49</v>
      </c>
      <c r="E29" s="36">
        <v>1000</v>
      </c>
      <c r="F29" s="119" t="s">
        <v>50</v>
      </c>
      <c r="G29" s="115"/>
      <c r="H29" s="107" t="str">
        <f>IF(AND(C30&lt;0.15),"&lt;0.15",C30)</f>
        <v>&lt;0.15</v>
      </c>
      <c r="I29" s="108"/>
      <c r="J29" s="32" t="s">
        <v>51</v>
      </c>
    </row>
    <row r="30" spans="1:26" ht="15.75" customHeight="1" x14ac:dyDescent="0.25">
      <c r="A30" s="33" t="s">
        <v>52</v>
      </c>
      <c r="B30" s="34"/>
      <c r="C30" s="109">
        <f>C29/1000</f>
        <v>0</v>
      </c>
      <c r="D30" s="110"/>
      <c r="E30" s="35"/>
      <c r="F30" s="34"/>
      <c r="G30" s="34"/>
      <c r="H30" s="34"/>
      <c r="I30" s="34"/>
      <c r="J30" s="32"/>
    </row>
    <row r="31" spans="1:26" ht="15.75" customHeight="1" x14ac:dyDescent="0.25">
      <c r="A31" s="152" t="s">
        <v>56</v>
      </c>
      <c r="B31" s="121"/>
      <c r="C31" s="17"/>
      <c r="D31" s="17"/>
      <c r="E31" s="17"/>
      <c r="F31" s="18" t="s">
        <v>57</v>
      </c>
      <c r="G31" s="17"/>
      <c r="H31" s="17"/>
      <c r="I31" s="17"/>
      <c r="J31" s="19"/>
    </row>
    <row r="32" spans="1:26" ht="15.75" customHeight="1" x14ac:dyDescent="0.25">
      <c r="A32" s="20"/>
      <c r="B32" s="153" t="s">
        <v>58</v>
      </c>
      <c r="C32" s="115"/>
      <c r="D32" s="115"/>
      <c r="E32" s="124"/>
      <c r="F32" s="1"/>
      <c r="G32" s="1"/>
      <c r="H32" s="1"/>
      <c r="I32" s="1"/>
      <c r="J32" s="16"/>
    </row>
    <row r="33" spans="1:26" ht="15.75" customHeight="1" x14ac:dyDescent="0.25">
      <c r="A33" s="20"/>
      <c r="B33" s="115"/>
      <c r="C33" s="115"/>
      <c r="D33" s="115"/>
      <c r="E33" s="124"/>
      <c r="F33" s="21"/>
      <c r="G33" s="1"/>
      <c r="H33" s="1"/>
      <c r="I33" s="1"/>
      <c r="J33" s="16"/>
    </row>
    <row r="34" spans="1:26" ht="15.75" customHeight="1" x14ac:dyDescent="0.25">
      <c r="A34" s="22"/>
      <c r="B34" s="153" t="s">
        <v>59</v>
      </c>
      <c r="C34" s="115"/>
      <c r="D34" s="115"/>
      <c r="E34" s="124"/>
      <c r="F34" s="1"/>
      <c r="G34" s="1"/>
      <c r="H34" s="1"/>
      <c r="I34" s="1"/>
      <c r="J34" s="16"/>
    </row>
    <row r="35" spans="1:26" ht="15.75" customHeight="1" x14ac:dyDescent="0.25">
      <c r="A35" s="22"/>
      <c r="B35" s="115"/>
      <c r="C35" s="115"/>
      <c r="D35" s="115"/>
      <c r="E35" s="124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4" t="s">
        <v>60</v>
      </c>
      <c r="B38" s="121"/>
      <c r="C38" s="121"/>
      <c r="D38" s="121"/>
      <c r="E38" s="122"/>
      <c r="F38" s="141">
        <f>FormSampel!B19</f>
        <v>0</v>
      </c>
      <c r="G38" s="142"/>
      <c r="H38" s="145">
        <f>FormSampel!B20</f>
        <v>0</v>
      </c>
      <c r="I38" s="145"/>
      <c r="J38" s="146"/>
    </row>
    <row r="39" spans="1:26" ht="11.25" customHeight="1" x14ac:dyDescent="0.25">
      <c r="A39" s="150"/>
      <c r="B39" s="151"/>
      <c r="C39" s="151"/>
      <c r="D39" s="151"/>
      <c r="E39" s="155"/>
      <c r="F39" s="143"/>
      <c r="G39" s="144"/>
      <c r="H39" s="147"/>
      <c r="I39" s="147"/>
      <c r="J39" s="148"/>
    </row>
    <row r="40" spans="1:26" ht="15.75" customHeight="1" x14ac:dyDescent="0.25">
      <c r="A40" s="149" t="s">
        <v>61</v>
      </c>
      <c r="B40" s="121"/>
      <c r="C40" s="121"/>
      <c r="D40" s="121"/>
      <c r="E40" s="121"/>
      <c r="F40" s="27"/>
      <c r="G40" s="23"/>
      <c r="H40" s="23"/>
      <c r="I40" s="23"/>
      <c r="J40" s="16"/>
    </row>
    <row r="41" spans="1:26" ht="11.25" customHeight="1" x14ac:dyDescent="0.25">
      <c r="A41" s="150"/>
      <c r="B41" s="151"/>
      <c r="C41" s="151"/>
      <c r="D41" s="151"/>
      <c r="E41" s="151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&amp;LPKKK/UAT/003B&amp;R16-Dis-2024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2024-03-29T07:38:51Z</cp:lastPrinted>
  <dcterms:created xsi:type="dcterms:W3CDTF">2006-09-16T00:00:00Z</dcterms:created>
  <dcterms:modified xsi:type="dcterms:W3CDTF">2025-01-02T08:48:03Z</dcterms:modified>
</cp:coreProperties>
</file>