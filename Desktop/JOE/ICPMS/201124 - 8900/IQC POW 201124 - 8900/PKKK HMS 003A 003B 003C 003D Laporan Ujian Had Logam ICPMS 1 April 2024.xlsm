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JOE\ICPMS\201124 - 8900\IQC POW 201124 - 8900\"/>
    </mc:Choice>
  </mc:AlternateContent>
  <xr:revisionPtr revIDLastSave="0" documentId="13_ncr:1_{9A5E20E8-AA40-4E0A-BA7A-FA93B4E7256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29" i="36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H29" i="24"/>
  <c r="H26" i="24"/>
  <c r="C24" i="24"/>
  <c r="H23" i="24" s="1"/>
  <c r="C24" i="23"/>
  <c r="H23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24" i="1" l="1"/>
</calcChain>
</file>

<file path=xl/sharedStrings.xml><?xml version="1.0" encoding="utf-8"?>
<sst xmlns="http://schemas.openxmlformats.org/spreadsheetml/2006/main" count="1291" uniqueCount="98">
  <si>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</si>
  <si>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</si>
  <si>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</si>
  <si>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</si>
  <si>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</si>
  <si>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</si>
  <si>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</si>
  <si>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</si>
  <si>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</si>
  <si>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</si>
  <si>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</si>
  <si>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</si>
  <si>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</si>
  <si>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</si>
  <si>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</si>
  <si>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</si>
  <si>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</si>
  <si>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</si>
  <si>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</si>
  <si>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</si>
  <si>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</si>
  <si>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</si>
  <si>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</si>
  <si>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</si>
  <si>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</si>
  <si>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</si>
  <si>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</si>
  <si>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</si>
  <si>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</si>
  <si>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</si>
  <si>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</si>
  <si>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</si>
  <si>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</si>
  <si>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</si>
  <si>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</si>
  <si>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</si>
  <si>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</si>
  <si>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</si>
  <si>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</si>
  <si>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</si>
  <si>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</si>
  <si>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</si>
  <si>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</si>
  <si>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</si>
  <si>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</si>
  <si>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</si>
  <si>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</si>
  <si>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</si>
  <si>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</si>
  <si>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</si>
  <si>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</si>
  <si>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</si>
  <si>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</si>
  <si>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</si>
  <si>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</si>
  <si>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</si>
  <si>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</si>
  <si>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</si>
  <si>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</si>
  <si>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</si>
  <si>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</si>
  <si>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</si>
  <si>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</si>
  <si>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</si>
  <si>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</si>
  <si>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</si>
  <si>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</si>
  <si>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</si>
  <si>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</si>
  <si>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</si>
  <si>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</si>
  <si>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</si>
  <si>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</si>
  <si>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</si>
  <si>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</si>
  <si>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</si>
  <si>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</si>
  <si>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</si>
  <si>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</si>
  <si>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</si>
  <si>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</si>
  <si>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</si>
  <si>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</si>
  <si>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</si>
  <si>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</si>
  <si>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</si>
  <si>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</si>
  <si>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</si>
  <si>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</si>
  <si>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</si>
  <si>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</si>
  <si>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</si>
  <si>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</si>
  <si>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ASYIKIN NASOHA MAISARAH</t>
  </si>
  <si>
    <t>2024080259 AR CD</t>
  </si>
  <si>
    <t>2024080259 BR CD</t>
  </si>
  <si>
    <t>2024080259 CR CD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</si>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</sst>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4" xfId="0" applyFont="1" applyBorder="1"/>
    <xf numFmtId="0" fontId="0" fillId="0" borderId="25" xfId="0" applyBorder="1"/>
    <xf numFmtId="0" fontId="0" fillId="0" borderId="23" xfId="0" applyBorder="1"/>
    <xf numFmtId="0" fontId="3" fillId="0" borderId="24" xfId="0" applyFont="1" applyBorder="1" applyAlignment="1">
      <alignment horizontal="left"/>
    </xf>
    <xf numFmtId="0" fontId="0" fillId="0" borderId="18" xfId="0" applyBorder="1"/>
    <xf numFmtId="14" fontId="0" fillId="0" borderId="16" xfId="0" applyNumberForma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3" fillId="0" borderId="31" xfId="0" applyFont="1" applyBorder="1" applyAlignment="1">
      <alignment horizontal="left"/>
    </xf>
    <xf numFmtId="0" fontId="0" fillId="0" borderId="32" xfId="0" applyBorder="1"/>
    <xf numFmtId="14" fontId="0" fillId="0" borderId="34" xfId="0" applyNumberFormat="1" applyBorder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/>
    <xf numFmtId="0" fontId="14" fillId="5" borderId="26" xfId="0" applyFont="1" applyFill="1" applyBorder="1"/>
    <xf numFmtId="0" fontId="3" fillId="0" borderId="31" xfId="0" applyFont="1" applyBorder="1"/>
    <xf numFmtId="0" fontId="14" fillId="5" borderId="20" xfId="0" applyFont="1" applyFill="1" applyBorder="1"/>
    <xf numFmtId="0" fontId="0" fillId="0" borderId="13" xfId="0" applyBorder="1"/>
    <xf numFmtId="0" fontId="3" fillId="0" borderId="35" xfId="0" applyFont="1" applyBorder="1"/>
    <xf numFmtId="0" fontId="0" fillId="0" borderId="30" xfId="0" applyBorder="1"/>
    <xf numFmtId="0" fontId="0" fillId="0" borderId="36" xfId="0" applyBorder="1"/>
    <xf numFmtId="0" fontId="0" fillId="0" borderId="35" xfId="0" applyBorder="1"/>
    <xf numFmtId="0" fontId="0" fillId="0" borderId="21" xfId="0" applyBorder="1"/>
    <xf numFmtId="0" fontId="3" fillId="0" borderId="15" xfId="0" applyFont="1" applyBorder="1" applyAlignment="1">
      <alignment horizontal="center"/>
    </xf>
    <xf numFmtId="0" fontId="15" fillId="0" borderId="0" xfId="0" applyFo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39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0" xfId="0" applyNumberFormat="1"/>
    <xf numFmtId="164" fontId="0" fillId="4" borderId="40" xfId="0" applyNumberFormat="1" applyFill="1" applyBorder="1" applyAlignment="1">
      <alignment horizontal="center" vertical="center"/>
    </xf>
    <xf numFmtId="164" fontId="0" fillId="6" borderId="40" xfId="0" applyNumberFormat="1" applyFill="1" applyBorder="1" applyAlignment="1">
      <alignment horizontal="center" vertical="center"/>
    </xf>
    <xf numFmtId="164" fontId="0" fillId="7" borderId="40" xfId="0" applyNumberFormat="1" applyFill="1" applyBorder="1" applyAlignment="1">
      <alignment horizontal="center" vertical="center"/>
    </xf>
    <xf numFmtId="164" fontId="0" fillId="8" borderId="40" xfId="0" applyNumberFormat="1" applyFill="1" applyBorder="1" applyAlignment="1">
      <alignment horizontal="center" vertical="center"/>
    </xf>
    <xf numFmtId="164" fontId="0" fillId="0" borderId="12" xfId="0" applyNumberFormat="1" applyBorder="1"/>
    <xf numFmtId="0" fontId="1" fillId="0" borderId="33" xfId="0" applyFont="1" applyBorder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J74"/>
  <sheetViews>
    <sheetView workbookViewId="0">
      <selection activeCell="J4" sqref="J4:J6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4" customWidth="1"/>
    <col min="6" max="6" width="24" style="69" customWidth="1"/>
    <col min="7" max="10" width="9.140625" style="72"/>
  </cols>
  <sheetData>
    <row r="1" spans="1:10" ht="15.75" customHeight="1" thickBot="1" x14ac:dyDescent="0.3"/>
    <row r="2" spans="1:10" ht="15.75" customHeight="1" thickBot="1" x14ac:dyDescent="0.3">
      <c r="A2" s="56" t="s">
        <v>3</v>
      </c>
      <c r="B2" s="59">
        <v>201124</v>
      </c>
      <c r="E2" s="80" t="s">
        <v>90</v>
      </c>
      <c r="F2" s="80" t="s">
        <v>91</v>
      </c>
      <c r="G2" s="79" t="s">
        <v>92</v>
      </c>
      <c r="H2" s="79"/>
      <c r="I2" s="79"/>
      <c r="J2" s="79"/>
    </row>
    <row r="3" spans="1:10" ht="15" customHeight="1" x14ac:dyDescent="0.25">
      <c r="A3" s="55" t="s">
        <v>63</v>
      </c>
      <c r="B3" s="60" t="s">
        <v>65</v>
      </c>
      <c r="E3" s="80"/>
      <c r="F3" s="81"/>
      <c r="G3" s="73" t="s">
        <v>72</v>
      </c>
      <c r="H3" s="74" t="s">
        <v>80</v>
      </c>
      <c r="I3" s="75" t="s">
        <v>14</v>
      </c>
      <c r="J3" s="76" t="s">
        <v>73</v>
      </c>
    </row>
    <row r="4" spans="1:10" ht="15.75" customHeight="1" x14ac:dyDescent="0.25">
      <c r="A4" s="57" t="s">
        <v>64</v>
      </c>
      <c r="B4" s="41" t="b">
        <v>0</v>
      </c>
      <c r="E4" s="70">
        <v>1</v>
      </c>
      <c r="F4" s="71" t="s">
        <v>94</v>
      </c>
      <c r="G4" s="77" t="s">
        <v>97</v>
      </c>
      <c r="H4" s="77">
        <v>440.02100000000002</v>
      </c>
      <c r="I4" s="77" t="s">
        <v>97</v>
      </c>
      <c r="J4" s="77" t="s">
        <v>97</v>
      </c>
    </row>
    <row r="5" spans="1:10" ht="15.75" thickBot="1" x14ac:dyDescent="0.3">
      <c r="A5" s="42" t="s">
        <v>66</v>
      </c>
      <c r="B5" s="62" t="b">
        <v>1</v>
      </c>
      <c r="E5" s="70">
        <v>2</v>
      </c>
      <c r="F5" s="71" t="s">
        <v>95</v>
      </c>
      <c r="G5" s="77" t="s">
        <v>97</v>
      </c>
      <c r="H5" s="77">
        <v>430.935</v>
      </c>
      <c r="I5" s="77" t="s">
        <v>97</v>
      </c>
      <c r="J5" s="77" t="s">
        <v>97</v>
      </c>
    </row>
    <row r="6" spans="1:10" x14ac:dyDescent="0.25">
      <c r="A6" s="58" t="s">
        <v>67</v>
      </c>
      <c r="B6" s="64"/>
      <c r="E6" s="70">
        <v>3</v>
      </c>
      <c r="F6" s="71" t="s">
        <v>96</v>
      </c>
      <c r="G6" s="77" t="s">
        <v>97</v>
      </c>
      <c r="H6" s="77">
        <v>373.94</v>
      </c>
      <c r="I6" s="77" t="s">
        <v>97</v>
      </c>
      <c r="J6" s="77" t="s">
        <v>97</v>
      </c>
    </row>
    <row r="7" spans="1:10" x14ac:dyDescent="0.25">
      <c r="A7" s="57" t="s">
        <v>68</v>
      </c>
      <c r="B7" s="61" t="b">
        <v>1</v>
      </c>
      <c r="E7" s="70">
        <v>4</v>
      </c>
      <c r="F7" s="71"/>
      <c r="G7" s="77"/>
      <c r="H7" s="77"/>
      <c r="I7" s="77"/>
      <c r="J7" s="77"/>
    </row>
    <row r="8" spans="1:10" ht="15.75" thickBot="1" x14ac:dyDescent="0.3">
      <c r="A8" s="42" t="s">
        <v>88</v>
      </c>
      <c r="B8" s="62" t="b">
        <v>0</v>
      </c>
      <c r="E8" s="70">
        <v>5</v>
      </c>
      <c r="F8" s="71"/>
      <c r="G8" s="77"/>
      <c r="H8" s="77"/>
      <c r="I8" s="77"/>
      <c r="J8" s="77"/>
    </row>
    <row r="9" spans="1:10" x14ac:dyDescent="0.25">
      <c r="A9" s="58" t="s">
        <v>69</v>
      </c>
      <c r="B9" s="63"/>
      <c r="E9" s="70">
        <v>6</v>
      </c>
      <c r="F9" s="71"/>
      <c r="G9" s="77"/>
      <c r="H9" s="77"/>
      <c r="I9" s="77"/>
      <c r="J9" s="77"/>
    </row>
    <row r="10" spans="1:10" x14ac:dyDescent="0.25">
      <c r="A10" s="57" t="s">
        <v>70</v>
      </c>
      <c r="B10" s="61" t="b">
        <v>1</v>
      </c>
      <c r="E10" s="70">
        <v>7</v>
      </c>
      <c r="F10" s="71"/>
      <c r="G10" s="77"/>
      <c r="H10" s="77"/>
      <c r="I10" s="77"/>
      <c r="J10" s="77"/>
    </row>
    <row r="11" spans="1:10" ht="15.75" customHeight="1" thickBot="1" x14ac:dyDescent="0.3">
      <c r="A11" s="44" t="s">
        <v>71</v>
      </c>
      <c r="B11" s="62" t="b">
        <v>0</v>
      </c>
      <c r="E11" s="70">
        <v>8</v>
      </c>
      <c r="F11" s="71"/>
      <c r="G11" s="77"/>
      <c r="H11" s="77"/>
      <c r="I11" s="77"/>
      <c r="J11" s="77"/>
    </row>
    <row r="12" spans="1:10" ht="15" customHeight="1" x14ac:dyDescent="0.25">
      <c r="A12" s="82" t="s">
        <v>42</v>
      </c>
      <c r="B12" s="84" t="s">
        <v>78</v>
      </c>
      <c r="C12" s="86" t="s">
        <v>79</v>
      </c>
      <c r="E12" s="70">
        <v>9</v>
      </c>
      <c r="F12" s="71"/>
      <c r="G12" s="77"/>
      <c r="H12" s="77"/>
      <c r="I12" s="77"/>
      <c r="J12" s="77"/>
    </row>
    <row r="13" spans="1:10" ht="15" customHeight="1" x14ac:dyDescent="0.25">
      <c r="A13" s="83"/>
      <c r="B13" s="85"/>
      <c r="C13" s="87"/>
      <c r="E13" s="70">
        <v>10</v>
      </c>
      <c r="F13" s="71"/>
      <c r="G13" s="77"/>
      <c r="H13" s="77"/>
      <c r="I13" s="77"/>
      <c r="J13" s="77"/>
    </row>
    <row r="14" spans="1:10" ht="15.75" customHeight="1" x14ac:dyDescent="0.25">
      <c r="A14" s="65" t="s">
        <v>72</v>
      </c>
      <c r="B14" s="41" t="s">
        <v>81</v>
      </c>
      <c r="C14" s="47">
        <v>45808</v>
      </c>
      <c r="E14" s="70">
        <v>11</v>
      </c>
      <c r="F14" s="71"/>
      <c r="G14" s="77"/>
      <c r="H14" s="77"/>
      <c r="I14" s="77"/>
      <c r="J14" s="77"/>
    </row>
    <row r="15" spans="1:10" x14ac:dyDescent="0.25">
      <c r="A15" s="67" t="s">
        <v>14</v>
      </c>
      <c r="B15" s="41" t="s">
        <v>82</v>
      </c>
      <c r="C15" s="47">
        <v>45716</v>
      </c>
      <c r="E15" s="70">
        <v>12</v>
      </c>
      <c r="F15" s="71"/>
      <c r="G15" s="77"/>
      <c r="H15" s="77"/>
      <c r="I15" s="77"/>
      <c r="J15" s="77"/>
    </row>
    <row r="16" spans="1:10" ht="15" customHeight="1" x14ac:dyDescent="0.25">
      <c r="A16" s="67" t="s">
        <v>73</v>
      </c>
      <c r="B16" s="41" t="s">
        <v>83</v>
      </c>
      <c r="C16" s="47">
        <v>45688</v>
      </c>
      <c r="E16" s="70">
        <v>13</v>
      </c>
      <c r="F16" s="71"/>
      <c r="G16" s="77"/>
      <c r="H16" s="77"/>
      <c r="I16" s="77"/>
      <c r="J16" s="77"/>
    </row>
    <row r="17" spans="1:10" ht="15.75" customHeight="1" thickBot="1" x14ac:dyDescent="0.3">
      <c r="A17" s="68" t="s">
        <v>89</v>
      </c>
      <c r="B17" s="46" t="s">
        <v>84</v>
      </c>
      <c r="C17" s="48">
        <v>46142</v>
      </c>
      <c r="E17" s="70">
        <v>14</v>
      </c>
      <c r="F17" s="71"/>
      <c r="G17" s="77"/>
      <c r="H17" s="77"/>
      <c r="I17" s="77"/>
      <c r="J17" s="77"/>
    </row>
    <row r="18" spans="1:10" ht="15" customHeight="1" x14ac:dyDescent="0.25">
      <c r="A18" s="54" t="s">
        <v>85</v>
      </c>
      <c r="B18" s="49"/>
      <c r="C18" s="50"/>
      <c r="E18" s="70">
        <v>15</v>
      </c>
      <c r="F18" s="71"/>
      <c r="G18" s="77"/>
      <c r="H18" s="77"/>
      <c r="I18" s="77"/>
      <c r="J18" s="77"/>
    </row>
    <row r="19" spans="1:10" ht="15.75" customHeight="1" x14ac:dyDescent="0.25">
      <c r="A19" s="51" t="s">
        <v>86</v>
      </c>
      <c r="B19" s="78" t="s">
        <v>93</v>
      </c>
      <c r="C19" s="52"/>
    </row>
    <row r="20" spans="1:10" ht="15.75" thickBot="1" x14ac:dyDescent="0.3">
      <c r="A20" s="45" t="s">
        <v>87</v>
      </c>
      <c r="B20" s="53">
        <v>45616</v>
      </c>
      <c r="C20" s="43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6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9" zoomScale="112" zoomScaleNormal="100" zoomScalePageLayoutView="112" workbookViewId="0">
      <selection activeCell="I37" sqref="I3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 t="str">
        <f>FormSampel!F4</f>
        <v>2024080259 AR CD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 t="str">
        <f>FormSampel!G4</f>
        <v>NA</v>
      </c>
      <c r="D20" s="30" t="s">
        <v>50</v>
      </c>
      <c r="E20" s="31">
        <v>1000</v>
      </c>
      <c r="F20" s="130" t="s">
        <v>51</v>
      </c>
      <c r="G20" s="131"/>
      <c r="H20" s="149" t="s">
        <v>97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50" t="s">
        <v>97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FormSampel!H4</f>
        <v>440.02100000000002</v>
      </c>
      <c r="D23" s="30" t="s">
        <v>50</v>
      </c>
      <c r="E23" s="36">
        <v>1000</v>
      </c>
      <c r="F23" s="130" t="s">
        <v>51</v>
      </c>
      <c r="G23" s="131"/>
      <c r="H23" s="132">
        <f>IF(C24&lt;0.15,"&lt;0.15",C24)</f>
        <v>0.440021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0.440021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 t="str">
        <f>FormSampel!I4</f>
        <v>NA</v>
      </c>
      <c r="D26" s="30" t="s">
        <v>50</v>
      </c>
      <c r="E26" s="36">
        <v>1000</v>
      </c>
      <c r="F26" s="139" t="s">
        <v>51</v>
      </c>
      <c r="G26" s="131"/>
      <c r="H26" s="149" t="s">
        <v>97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51" t="s">
        <v>97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 t="str">
        <f>FormSampel!J4</f>
        <v>NA</v>
      </c>
      <c r="D29" s="30" t="s">
        <v>50</v>
      </c>
      <c r="E29" s="36">
        <v>1000</v>
      </c>
      <c r="F29" s="142" t="s">
        <v>51</v>
      </c>
      <c r="G29" s="104"/>
      <c r="H29" s="149" t="s">
        <v>97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50" t="s">
        <v>97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21" zoomScale="112" zoomScaleNormal="100" zoomScalePageLayoutView="112" workbookViewId="0">
      <selection activeCell="H35" sqref="H3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 t="str">
        <f>FormSampel!F5</f>
        <v>2024080259 BR CD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 t="str">
        <f>FormSampel!G5</f>
        <v>NA</v>
      </c>
      <c r="D20" s="30" t="s">
        <v>50</v>
      </c>
      <c r="E20" s="31">
        <v>1000</v>
      </c>
      <c r="F20" s="130" t="s">
        <v>51</v>
      </c>
      <c r="G20" s="131"/>
      <c r="H20" s="149" t="s">
        <v>97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50" t="s">
        <v>97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FormSampel!H5</f>
        <v>430.935</v>
      </c>
      <c r="D23" s="30" t="s">
        <v>50</v>
      </c>
      <c r="E23" s="36">
        <v>1000</v>
      </c>
      <c r="F23" s="130" t="s">
        <v>51</v>
      </c>
      <c r="G23" s="131"/>
      <c r="H23" s="132">
        <f>IF(C24&lt;0.15,"&lt;0.15",C24)</f>
        <v>0.43093500000000001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0.43093500000000001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 t="str">
        <f>FormSampel!I5</f>
        <v>NA</v>
      </c>
      <c r="D26" s="30" t="s">
        <v>50</v>
      </c>
      <c r="E26" s="36">
        <v>1000</v>
      </c>
      <c r="F26" s="139" t="s">
        <v>51</v>
      </c>
      <c r="G26" s="131"/>
      <c r="H26" s="149" t="s">
        <v>97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51" t="s">
        <v>97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 t="str">
        <f>FormSampel!J5</f>
        <v>NA</v>
      </c>
      <c r="D29" s="30" t="s">
        <v>50</v>
      </c>
      <c r="E29" s="36">
        <v>1000</v>
      </c>
      <c r="F29" s="142" t="s">
        <v>51</v>
      </c>
      <c r="G29" s="104"/>
      <c r="H29" s="149" t="s">
        <v>97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50" t="s">
        <v>97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topLeftCell="A19" zoomScale="112" zoomScaleNormal="100" zoomScalePageLayoutView="112" workbookViewId="0">
      <selection activeCell="H29" sqref="H29:I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 t="str">
        <f>FormSampel!F6</f>
        <v>2024080259 CR CD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 t="str">
        <f>FormSampel!G6</f>
        <v>NA</v>
      </c>
      <c r="D20" s="30" t="s">
        <v>50</v>
      </c>
      <c r="E20" s="31">
        <v>1000</v>
      </c>
      <c r="F20" s="130" t="s">
        <v>51</v>
      </c>
      <c r="G20" s="131"/>
      <c r="H20" s="149" t="s">
        <v>97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50" t="s">
        <v>97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FormSampel!H6</f>
        <v>373.94</v>
      </c>
      <c r="D23" s="30" t="s">
        <v>50</v>
      </c>
      <c r="E23" s="36">
        <v>1000</v>
      </c>
      <c r="F23" s="130" t="s">
        <v>51</v>
      </c>
      <c r="G23" s="131"/>
      <c r="H23" s="132">
        <f>IF(C24&lt;0.15,"&lt;0.15",C24)</f>
        <v>0.37393999999999999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0.37393999999999999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 t="str">
        <f>FormSampel!I6</f>
        <v>NA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NA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51" t="s">
        <v>97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 t="str">
        <f>FormSampel!J6</f>
        <v>NA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NA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50" t="s">
        <v>97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FormSampel!F7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FormSampel!G7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FormSampel!H7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FormSampel!I7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FormSampel!J7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FormSampel!F8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FormSampel!G8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FormSampel!H8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FormSampel!I8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FormSampel!J8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FormSampel!F9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FormSampel!G9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FormSampel!H9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FormSampel!I9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FormSampel!J9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FormSampel!F10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FormSampel!G10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FormSampel!H10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FormSampel!I10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FormSampel!J10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FormSampel!F11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FormSampel!G11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FormSampel!H11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FormSampel!I11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FormSampel!J11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FormSampel!F12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FormSampel!G12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FormSampel!H12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FormSampel!I12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FormSampel!J12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FormSampel!F13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FormSampel!G13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FormSampel!H13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FormSampel!I13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FormSampel!J13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FormSampel!F14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FormSampel!G14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FormSampel!H14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FormSampel!I14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FormSampel!J14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FormSampel!F15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FormSampel!G15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FormSampel!H15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FormSampel!I15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FormSampel!J15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FormSampel!F16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FormSampel!G16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FormSampel!H16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FormSampel!I16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FormSampel!J16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FormSampel!F17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FormSampel!G17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FormSampel!H17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FormSampel!I17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FormSampel!J17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4"/>
    </row>
    <row r="2" spans="1:26" x14ac:dyDescent="0.25">
      <c r="A2" s="122" t="s">
        <v>1</v>
      </c>
      <c r="B2" s="123"/>
      <c r="C2" s="123"/>
      <c r="D2" s="123"/>
      <c r="E2" s="123"/>
      <c r="F2" s="123"/>
      <c r="G2" s="123"/>
      <c r="H2" s="123"/>
      <c r="I2" s="123"/>
      <c r="J2" s="124"/>
    </row>
    <row r="3" spans="1:26" x14ac:dyDescent="0.25">
      <c r="A3" s="125" t="s">
        <v>2</v>
      </c>
      <c r="B3" s="123"/>
      <c r="C3" s="124"/>
      <c r="D3" s="126">
        <f>FormSampel!F18</f>
        <v>0</v>
      </c>
      <c r="E3" s="123"/>
      <c r="F3" s="123"/>
      <c r="G3" s="123"/>
      <c r="H3" s="123"/>
      <c r="I3" s="123"/>
      <c r="J3" s="124"/>
    </row>
    <row r="4" spans="1:26" x14ac:dyDescent="0.25">
      <c r="A4" s="125" t="s">
        <v>3</v>
      </c>
      <c r="B4" s="123"/>
      <c r="C4" s="124"/>
      <c r="D4" s="126">
        <f>FormSampel!B2</f>
        <v>201124</v>
      </c>
      <c r="E4" s="123"/>
      <c r="F4" s="123"/>
      <c r="G4" s="123"/>
      <c r="H4" s="123"/>
      <c r="I4" s="123"/>
      <c r="J4" s="124"/>
    </row>
    <row r="5" spans="1:26" ht="15" customHeight="1" x14ac:dyDescent="0.25">
      <c r="A5" s="127" t="s">
        <v>4</v>
      </c>
      <c r="B5" s="123"/>
      <c r="C5" s="123"/>
      <c r="D5" s="123"/>
      <c r="E5" s="123"/>
      <c r="F5" s="123"/>
      <c r="G5" s="123"/>
      <c r="H5" s="123"/>
      <c r="I5" s="123"/>
      <c r="J5" s="12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7" t="s">
        <v>5</v>
      </c>
      <c r="B6" s="123"/>
      <c r="C6" s="123"/>
      <c r="D6" s="123"/>
      <c r="E6" s="123"/>
      <c r="F6" s="123"/>
      <c r="G6" s="123"/>
      <c r="H6" s="123"/>
      <c r="I6" s="123"/>
      <c r="J6" s="124"/>
    </row>
    <row r="7" spans="1:26" ht="30" customHeight="1" x14ac:dyDescent="0.25">
      <c r="A7" s="128" t="s">
        <v>6</v>
      </c>
      <c r="B7" s="97"/>
      <c r="C7" s="129" t="s">
        <v>7</v>
      </c>
      <c r="D7" s="97"/>
      <c r="E7" s="97"/>
      <c r="F7" s="2" t="s">
        <v>8</v>
      </c>
      <c r="G7" s="120" t="s">
        <v>9</v>
      </c>
      <c r="H7" s="97"/>
      <c r="I7" s="97"/>
      <c r="J7" s="107"/>
    </row>
    <row r="8" spans="1:26" ht="15" customHeight="1" x14ac:dyDescent="0.25">
      <c r="A8" s="109" t="s">
        <v>10</v>
      </c>
      <c r="B8" s="104"/>
      <c r="C8" s="110" t="s">
        <v>11</v>
      </c>
      <c r="D8" s="104"/>
      <c r="E8" s="4"/>
      <c r="F8" s="5" t="s">
        <v>12</v>
      </c>
      <c r="G8" s="6" t="s">
        <v>13</v>
      </c>
      <c r="H8" s="6" t="s">
        <v>14</v>
      </c>
      <c r="I8" s="121"/>
      <c r="J8" s="105"/>
    </row>
    <row r="9" spans="1:26" ht="30" customHeight="1" x14ac:dyDescent="0.25">
      <c r="A9" s="117" t="s">
        <v>15</v>
      </c>
      <c r="B9" s="104"/>
      <c r="C9" s="110" t="s">
        <v>16</v>
      </c>
      <c r="D9" s="10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09" t="s">
        <v>20</v>
      </c>
      <c r="B10" s="104"/>
      <c r="C10" s="110" t="s">
        <v>21</v>
      </c>
      <c r="D10" s="10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17" t="s">
        <v>25</v>
      </c>
      <c r="B11" s="104"/>
      <c r="C11" s="118" t="s">
        <v>26</v>
      </c>
      <c r="D11" s="10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09" t="s">
        <v>30</v>
      </c>
      <c r="B12" s="104"/>
      <c r="C12" s="110" t="s">
        <v>31</v>
      </c>
      <c r="D12" s="10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09" t="s">
        <v>35</v>
      </c>
      <c r="B13" s="104"/>
      <c r="C13" s="110" t="s">
        <v>36</v>
      </c>
      <c r="D13" s="10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09" t="s">
        <v>40</v>
      </c>
      <c r="B14" s="104"/>
      <c r="C14" s="110" t="s">
        <v>41</v>
      </c>
      <c r="D14" s="104"/>
      <c r="E14" s="7"/>
      <c r="F14" s="119" t="s">
        <v>42</v>
      </c>
      <c r="G14" s="104"/>
      <c r="H14" s="104"/>
      <c r="I14" s="116" t="s">
        <v>43</v>
      </c>
      <c r="J14" s="105"/>
    </row>
    <row r="15" spans="1:26" ht="15" customHeight="1" x14ac:dyDescent="0.25">
      <c r="A15" s="109" t="s">
        <v>44</v>
      </c>
      <c r="B15" s="104"/>
      <c r="C15" s="110" t="s">
        <v>45</v>
      </c>
      <c r="D15" s="104"/>
      <c r="E15" s="7"/>
      <c r="F15" s="38" t="s">
        <v>74</v>
      </c>
      <c r="G15" s="114" t="str">
        <f>FormSampel!B14</f>
        <v>HC 16350373 - 2</v>
      </c>
      <c r="H15" s="114"/>
      <c r="I15" s="111">
        <f>FormSampel!C14</f>
        <v>45808</v>
      </c>
      <c r="J15" s="112"/>
    </row>
    <row r="16" spans="1:26" ht="15" customHeight="1" x14ac:dyDescent="0.25">
      <c r="A16" s="109" t="s">
        <v>46</v>
      </c>
      <c r="B16" s="104"/>
      <c r="C16" s="113" t="s">
        <v>47</v>
      </c>
      <c r="D16" s="104"/>
      <c r="E16" s="104"/>
      <c r="F16" s="39" t="s">
        <v>75</v>
      </c>
      <c r="G16" s="115" t="str">
        <f>FormSampel!B15</f>
        <v>HC 15161426 - 2</v>
      </c>
      <c r="H16" s="115"/>
      <c r="I16" s="111">
        <f>FormSampel!C15</f>
        <v>45716</v>
      </c>
      <c r="J16" s="112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5" t="str">
        <f>FormSampel!B16</f>
        <v>HC 14813176 - 2</v>
      </c>
      <c r="H17" s="115"/>
      <c r="I17" s="111">
        <f>FormSampel!C16</f>
        <v>45688</v>
      </c>
      <c r="J17" s="11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48" t="str">
        <f>FormSampel!B17</f>
        <v>HC 28942277 - 2</v>
      </c>
      <c r="H18" s="148"/>
      <c r="I18" s="143">
        <f>FormSampel!C17</f>
        <v>46142</v>
      </c>
      <c r="J18" s="144"/>
    </row>
    <row r="19" spans="1:26" x14ac:dyDescent="0.25">
      <c r="A19" s="145" t="s">
        <v>48</v>
      </c>
      <c r="B19" s="146"/>
      <c r="C19" s="146"/>
      <c r="D19" s="146"/>
      <c r="E19" s="146"/>
      <c r="F19" s="146"/>
      <c r="G19" s="146"/>
      <c r="H19" s="146"/>
      <c r="I19" s="146"/>
      <c r="J19" s="147"/>
    </row>
    <row r="20" spans="1:26" ht="26.25" customHeight="1" x14ac:dyDescent="0.25">
      <c r="A20" s="135" t="s">
        <v>49</v>
      </c>
      <c r="B20" s="131"/>
      <c r="C20" s="29">
        <f>FormSampel!G18</f>
        <v>0</v>
      </c>
      <c r="D20" s="30" t="s">
        <v>50</v>
      </c>
      <c r="E20" s="31">
        <v>1000</v>
      </c>
      <c r="F20" s="130" t="s">
        <v>51</v>
      </c>
      <c r="G20" s="131"/>
      <c r="H20" s="132" t="str">
        <f>IF(AND(C21&lt;0.15),"&lt;0.15",C21)</f>
        <v>&lt;0.15</v>
      </c>
      <c r="I20" s="133"/>
      <c r="J20" s="32" t="s">
        <v>52</v>
      </c>
    </row>
    <row r="21" spans="1:26" ht="15.75" customHeight="1" x14ac:dyDescent="0.25">
      <c r="A21" s="33" t="s">
        <v>53</v>
      </c>
      <c r="B21" s="34"/>
      <c r="C21" s="100">
        <f>C20/1000</f>
        <v>0</v>
      </c>
      <c r="D21" s="101"/>
      <c r="E21" s="35"/>
      <c r="F21" s="34"/>
      <c r="G21" s="34"/>
      <c r="H21" s="34"/>
      <c r="I21" s="34"/>
      <c r="J21" s="32"/>
    </row>
    <row r="22" spans="1:26" ht="15.75" customHeight="1" x14ac:dyDescent="0.25">
      <c r="A22" s="136" t="s">
        <v>56</v>
      </c>
      <c r="B22" s="137"/>
      <c r="C22" s="137"/>
      <c r="D22" s="137"/>
      <c r="E22" s="137"/>
      <c r="F22" s="137"/>
      <c r="G22" s="137"/>
      <c r="H22" s="137"/>
      <c r="I22" s="137"/>
      <c r="J22" s="13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5" t="s">
        <v>49</v>
      </c>
      <c r="B23" s="131"/>
      <c r="C23" s="29">
        <f>FormSampel!H18</f>
        <v>0</v>
      </c>
      <c r="D23" s="30" t="s">
        <v>50</v>
      </c>
      <c r="E23" s="36">
        <v>1000</v>
      </c>
      <c r="F23" s="130" t="s">
        <v>51</v>
      </c>
      <c r="G23" s="131"/>
      <c r="H23" s="132" t="str">
        <f>IF(C24&lt;0.15,"&lt;0.15",C24)</f>
        <v>&lt;0.15</v>
      </c>
      <c r="I23" s="133"/>
      <c r="J23" s="32" t="s">
        <v>52</v>
      </c>
    </row>
    <row r="24" spans="1:26" ht="15.75" customHeight="1" x14ac:dyDescent="0.25">
      <c r="A24" s="33" t="s">
        <v>53</v>
      </c>
      <c r="B24" s="34"/>
      <c r="C24" s="100">
        <f>C23/1000</f>
        <v>0</v>
      </c>
      <c r="D24" s="101"/>
      <c r="E24" s="35"/>
      <c r="F24" s="34"/>
      <c r="G24" s="34"/>
      <c r="H24" s="34"/>
      <c r="I24" s="34"/>
      <c r="J24" s="32"/>
    </row>
    <row r="25" spans="1:26" ht="15.75" customHeight="1" x14ac:dyDescent="0.25">
      <c r="A25" s="136" t="s">
        <v>54</v>
      </c>
      <c r="B25" s="137"/>
      <c r="C25" s="137"/>
      <c r="D25" s="137"/>
      <c r="E25" s="137"/>
      <c r="F25" s="137"/>
      <c r="G25" s="137"/>
      <c r="H25" s="137"/>
      <c r="I25" s="137"/>
      <c r="J25" s="13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4" t="s">
        <v>49</v>
      </c>
      <c r="B26" s="104"/>
      <c r="C26" s="29">
        <f>FormSampel!I18</f>
        <v>0</v>
      </c>
      <c r="D26" s="30" t="s">
        <v>50</v>
      </c>
      <c r="E26" s="36">
        <v>1000</v>
      </c>
      <c r="F26" s="139" t="s">
        <v>51</v>
      </c>
      <c r="G26" s="131"/>
      <c r="H26" s="132" t="str">
        <f>IF(AND(C27&lt;0.15),"&lt;0.15",C27)</f>
        <v>&lt;0.15</v>
      </c>
      <c r="I26" s="133"/>
      <c r="J26" s="37" t="s">
        <v>52</v>
      </c>
    </row>
    <row r="27" spans="1:26" ht="15.75" customHeight="1" x14ac:dyDescent="0.25">
      <c r="A27" s="33" t="s">
        <v>53</v>
      </c>
      <c r="B27" s="34"/>
      <c r="C27" s="140">
        <f>C26/1000</f>
        <v>0</v>
      </c>
      <c r="D27" s="141"/>
      <c r="E27" s="35"/>
      <c r="F27" s="34"/>
      <c r="G27" s="34"/>
      <c r="H27" s="34"/>
      <c r="I27" s="34"/>
      <c r="J27" s="32"/>
    </row>
    <row r="28" spans="1:26" ht="15.75" customHeight="1" x14ac:dyDescent="0.25">
      <c r="A28" s="136" t="s">
        <v>55</v>
      </c>
      <c r="B28" s="137"/>
      <c r="C28" s="137"/>
      <c r="D28" s="137"/>
      <c r="E28" s="137"/>
      <c r="F28" s="137"/>
      <c r="G28" s="137"/>
      <c r="H28" s="137"/>
      <c r="I28" s="137"/>
      <c r="J28" s="13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4" t="s">
        <v>49</v>
      </c>
      <c r="B29" s="104"/>
      <c r="C29" s="29">
        <f>FormSampel!J18</f>
        <v>0</v>
      </c>
      <c r="D29" s="30" t="s">
        <v>50</v>
      </c>
      <c r="E29" s="36">
        <v>1000</v>
      </c>
      <c r="F29" s="142" t="s">
        <v>51</v>
      </c>
      <c r="G29" s="104"/>
      <c r="H29" s="132" t="str">
        <f>IF(AND(C30&lt;0.15),"&lt;0.15",C30)</f>
        <v>&lt;0.15</v>
      </c>
      <c r="I29" s="133"/>
      <c r="J29" s="32" t="s">
        <v>52</v>
      </c>
    </row>
    <row r="30" spans="1:26" ht="15.75" customHeight="1" x14ac:dyDescent="0.25">
      <c r="A30" s="33" t="s">
        <v>53</v>
      </c>
      <c r="B30" s="34"/>
      <c r="C30" s="100">
        <f>C29/1000</f>
        <v>0</v>
      </c>
      <c r="D30" s="101"/>
      <c r="E30" s="35"/>
      <c r="F30" s="34"/>
      <c r="G30" s="34"/>
      <c r="H30" s="34"/>
      <c r="I30" s="34"/>
      <c r="J30" s="32"/>
    </row>
    <row r="31" spans="1:26" ht="15.75" customHeight="1" x14ac:dyDescent="0.25">
      <c r="A31" s="102" t="s">
        <v>57</v>
      </c>
      <c r="B31" s="9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3" t="s">
        <v>59</v>
      </c>
      <c r="C32" s="104"/>
      <c r="D32" s="104"/>
      <c r="E32" s="105"/>
      <c r="F32" s="1"/>
      <c r="G32" s="1"/>
      <c r="H32" s="1"/>
      <c r="I32" s="1"/>
      <c r="J32" s="16"/>
    </row>
    <row r="33" spans="1:26" ht="15.75" customHeight="1" x14ac:dyDescent="0.25">
      <c r="A33" s="20"/>
      <c r="B33" s="104"/>
      <c r="C33" s="104"/>
      <c r="D33" s="104"/>
      <c r="E33" s="105"/>
      <c r="F33" s="21"/>
      <c r="G33" s="1"/>
      <c r="H33" s="1"/>
      <c r="I33" s="1"/>
      <c r="J33" s="16"/>
    </row>
    <row r="34" spans="1:26" ht="15.75" customHeight="1" x14ac:dyDescent="0.25">
      <c r="A34" s="22"/>
      <c r="B34" s="103" t="s">
        <v>60</v>
      </c>
      <c r="C34" s="104"/>
      <c r="D34" s="104"/>
      <c r="E34" s="105"/>
      <c r="F34" s="1"/>
      <c r="G34" s="1"/>
      <c r="H34" s="1"/>
      <c r="I34" s="1"/>
      <c r="J34" s="16"/>
    </row>
    <row r="35" spans="1:26" ht="15.75" customHeight="1" x14ac:dyDescent="0.25">
      <c r="A35" s="22"/>
      <c r="B35" s="104"/>
      <c r="C35" s="104"/>
      <c r="D35" s="104"/>
      <c r="E35" s="10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06" t="s">
        <v>61</v>
      </c>
      <c r="B38" s="97"/>
      <c r="C38" s="97"/>
      <c r="D38" s="97"/>
      <c r="E38" s="107"/>
      <c r="F38" s="88" t="str">
        <f>FormSampel!B19</f>
        <v>ASYIKIN NASOHA MAISARAH</v>
      </c>
      <c r="G38" s="89"/>
      <c r="H38" s="92">
        <f>FormSampel!B20</f>
        <v>45616</v>
      </c>
      <c r="I38" s="92"/>
      <c r="J38" s="93"/>
    </row>
    <row r="39" spans="1:26" ht="11.25" customHeight="1" x14ac:dyDescent="0.25">
      <c r="A39" s="98"/>
      <c r="B39" s="99"/>
      <c r="C39" s="99"/>
      <c r="D39" s="99"/>
      <c r="E39" s="108"/>
      <c r="F39" s="90"/>
      <c r="G39" s="91"/>
      <c r="H39" s="94"/>
      <c r="I39" s="94"/>
      <c r="J39" s="95"/>
    </row>
    <row r="40" spans="1:26" ht="15.75" customHeight="1" x14ac:dyDescent="0.25">
      <c r="A40" s="96" t="s">
        <v>62</v>
      </c>
      <c r="B40" s="97"/>
      <c r="C40" s="97"/>
      <c r="D40" s="97"/>
      <c r="E40" s="97"/>
      <c r="F40" s="27"/>
      <c r="G40" s="23"/>
      <c r="H40" s="23"/>
      <c r="I40" s="23"/>
      <c r="J40" s="16"/>
    </row>
    <row r="41" spans="1:26" ht="11.25" customHeight="1" x14ac:dyDescent="0.25">
      <c r="A41" s="98"/>
      <c r="B41" s="99"/>
      <c r="C41" s="99"/>
      <c r="D41" s="99"/>
      <c r="E41" s="9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2024-11-25T06:50:26Z</cp:lastPrinted>
  <dcterms:created xsi:type="dcterms:W3CDTF">2006-09-16T00:00:00Z</dcterms:created>
  <dcterms:modified xsi:type="dcterms:W3CDTF">2024-11-25T06:50:53Z</dcterms:modified>
</cp:coreProperties>
</file>