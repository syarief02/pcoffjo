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qmanul\Downloads\"/>
    </mc:Choice>
  </mc:AlternateContent>
  <bookViews>
    <workbookView xWindow="0" yWindow="0" windowWidth="28800" windowHeight="11580"/>
  </bookViews>
  <sheets>
    <sheet name="Report" sheetId="1" r:id="rId1"/>
    <sheet name="181248258" sheetId="3" r:id="rId2"/>
    <sheet name="111668831" sheetId="4" r:id="rId3"/>
    <sheet name="Z Factor" sheetId="5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4" i="1" l="1"/>
  <c r="C27" i="4" l="1"/>
  <c r="D9" i="4"/>
  <c r="D8" i="4"/>
  <c r="D7" i="4"/>
  <c r="C25" i="3"/>
  <c r="D9" i="3"/>
  <c r="D8" i="3"/>
  <c r="D7" i="3"/>
  <c r="L74" i="1" l="1"/>
  <c r="L75" i="1" l="1"/>
  <c r="L76" i="1" s="1"/>
  <c r="L78" i="1" s="1"/>
  <c r="N62" i="1"/>
</calcChain>
</file>

<file path=xl/sharedStrings.xml><?xml version="1.0" encoding="utf-8"?>
<sst xmlns="http://schemas.openxmlformats.org/spreadsheetml/2006/main" count="120" uniqueCount="98">
  <si>
    <t>No. Siri / Serial Number</t>
  </si>
  <si>
    <t>Bahan / Material</t>
  </si>
  <si>
    <t>Had Tolerans / Tolerance Limit</t>
  </si>
  <si>
    <t>BP</t>
  </si>
  <si>
    <t>ISO</t>
  </si>
  <si>
    <t>mL</t>
  </si>
  <si>
    <t>IN (to contain)</t>
  </si>
  <si>
    <t>EX (to deliver)</t>
  </si>
  <si>
    <t>Kebersihan / Cleanliness</t>
  </si>
  <si>
    <t>Sebab / Reason</t>
  </si>
  <si>
    <t>Tidak Memuaskan / Not Satisfactory</t>
  </si>
  <si>
    <t>Bersih / Clean</t>
  </si>
  <si>
    <t>Tidak Bersih / Not Clean</t>
  </si>
  <si>
    <t>Jenis Alat Volumetrik / 
Type of Volumetric Apparatus</t>
  </si>
  <si>
    <t>Fros / Frosting</t>
  </si>
  <si>
    <t>Calar / Scratch</t>
  </si>
  <si>
    <t>Pemeriksaan Visual / Visual Inspection:</t>
  </si>
  <si>
    <t>Dapat Dibaca / Readable</t>
  </si>
  <si>
    <t>Tidak Dapat Dibaca / 
Unreadable</t>
  </si>
  <si>
    <t xml:space="preserve">Memuaskan / Satisfactory </t>
  </si>
  <si>
    <t>Peralatan / Equipment:</t>
  </si>
  <si>
    <t>Berat Minima / Minimum Weight</t>
  </si>
  <si>
    <t>Resolusi Minima / 
Minimum Resolution</t>
  </si>
  <si>
    <t>Tarikh Kalibrasi Terakhir / 
Latest Calibration Date</t>
  </si>
  <si>
    <t>0.0001 g</t>
  </si>
  <si>
    <t>0.001 g</t>
  </si>
  <si>
    <t>Tarikh Verifikasi Terakhir / 
Latest Verification Date</t>
  </si>
  <si>
    <t xml:space="preserve">Ujian Gravimatrik / Gravimetric Test: </t>
  </si>
  <si>
    <t>Suhu Air / Water Temperature</t>
  </si>
  <si>
    <t>Sebelum / Before</t>
  </si>
  <si>
    <t>Selepas / After</t>
  </si>
  <si>
    <t xml:space="preserve">Purata / Mean </t>
  </si>
  <si>
    <t xml:space="preserve">Termometer / Test Thermometer </t>
  </si>
  <si>
    <t>0.01 g</t>
  </si>
  <si>
    <r>
      <t xml:space="preserve">(Suhu Selepas - Suhu Sebelum: </t>
    </r>
    <r>
      <rPr>
        <i/>
        <sz val="8"/>
        <color theme="1"/>
        <rFont val="Calibri"/>
        <family val="2"/>
      </rPr>
      <t xml:space="preserve">± 0.5 </t>
    </r>
    <r>
      <rPr>
        <i/>
        <vertAlign val="superscript"/>
        <sz val="8"/>
        <color theme="1"/>
        <rFont val="Calibri"/>
        <family val="2"/>
      </rPr>
      <t>o</t>
    </r>
    <r>
      <rPr>
        <i/>
        <sz val="8"/>
        <color theme="1"/>
        <rFont val="Calibri"/>
        <family val="2"/>
      </rPr>
      <t xml:space="preserve"> c)
(Temp. After - Temp. Before: ± 0.5 </t>
    </r>
    <r>
      <rPr>
        <i/>
        <vertAlign val="superscript"/>
        <sz val="8"/>
        <color theme="1"/>
        <rFont val="Calibri"/>
        <family val="2"/>
      </rPr>
      <t>o</t>
    </r>
    <r>
      <rPr>
        <i/>
        <sz val="8"/>
        <color theme="1"/>
        <rFont val="Calibri"/>
        <family val="2"/>
      </rPr>
      <t xml:space="preserve"> c)</t>
    </r>
  </si>
  <si>
    <t>Suhu Air Yang Dibetulkan / 
Corrected Water Temperature</t>
  </si>
  <si>
    <t>Faktor Z / Z Factor</t>
  </si>
  <si>
    <r>
      <rPr>
        <b/>
        <vertAlign val="superscript"/>
        <sz val="10"/>
        <color theme="1"/>
        <rFont val="Calibri"/>
        <family val="2"/>
      </rPr>
      <t>o</t>
    </r>
    <r>
      <rPr>
        <b/>
        <sz val="10"/>
        <color theme="1"/>
        <rFont val="Calibri"/>
        <family val="2"/>
      </rPr>
      <t xml:space="preserve"> c</t>
    </r>
  </si>
  <si>
    <t>X1</t>
  </si>
  <si>
    <t>X2</t>
  </si>
  <si>
    <t>X3</t>
  </si>
  <si>
    <t>KEPUTUSAN / RESULT</t>
  </si>
  <si>
    <t>Nilai Timbangan / Measurement Value ( g )</t>
  </si>
  <si>
    <t>Sijil Kalibrasi/Calibration Certificate</t>
  </si>
  <si>
    <t>Inskripsi/Inscription</t>
  </si>
  <si>
    <t>A</t>
  </si>
  <si>
    <t>B</t>
  </si>
  <si>
    <t>Tarikh Luput Sijil Kalibrasi  / 
Calibration Cert. Expiry Date</t>
  </si>
  <si>
    <t>Additional Document/ Worksheet</t>
  </si>
  <si>
    <t>GENERATION OF LINEARITY EQUATION FOR ACTUAL TEMPERATURE READING</t>
  </si>
  <si>
    <t>ID of Test Thermometer</t>
  </si>
  <si>
    <t>Certification Number</t>
  </si>
  <si>
    <t>Calibration Due Date</t>
  </si>
  <si>
    <r>
      <t>Test Thermometer Temperature Reading (</t>
    </r>
    <r>
      <rPr>
        <b/>
        <sz val="11"/>
        <color theme="1"/>
        <rFont val="Calibri"/>
        <family val="2"/>
      </rPr>
      <t>°C)</t>
    </r>
  </si>
  <si>
    <t>Correction</t>
  </si>
  <si>
    <t>Actual Temperature Reading (°C)</t>
  </si>
  <si>
    <t>Calculation:</t>
  </si>
  <si>
    <t>Linearity equation for correction</t>
  </si>
  <si>
    <t>Y =</t>
  </si>
  <si>
    <t>X +</t>
  </si>
  <si>
    <t>X = Test Thermometer Reading; 
Y = Actual Temperature Reading</t>
  </si>
  <si>
    <t>Test Thermometer Temperature Reading (°C)</t>
  </si>
  <si>
    <r>
      <t>Temperature 
(</t>
    </r>
    <r>
      <rPr>
        <b/>
        <vertAlign val="superscript"/>
        <sz val="10"/>
        <color indexed="9"/>
        <rFont val="Arial"/>
        <family val="2"/>
      </rPr>
      <t>o</t>
    </r>
    <r>
      <rPr>
        <b/>
        <sz val="10"/>
        <color indexed="9"/>
        <rFont val="Arial"/>
        <family val="2"/>
      </rPr>
      <t>C)</t>
    </r>
  </si>
  <si>
    <t>Factor Z 
(mL/g)</t>
  </si>
  <si>
    <t>Penganalisa/Analyst:</t>
  </si>
  <si>
    <t xml:space="preserve">Penyemak 1/Checker 1: </t>
  </si>
  <si>
    <t>Penyemak 2/Checker 2:</t>
  </si>
  <si>
    <t>Tarikh/Date:</t>
  </si>
  <si>
    <t>Kapasiti Nominal / 
Nominal Capacity</t>
  </si>
  <si>
    <t>Alat Penimbang / 
Weighing Balance</t>
  </si>
  <si>
    <t>Slip Karbon / Carbon Slip</t>
  </si>
  <si>
    <t>11 mL &lt;V &lt; 1000 mL</t>
  </si>
  <si>
    <r>
      <t xml:space="preserve">1000 mL </t>
    </r>
    <r>
      <rPr>
        <sz val="10"/>
        <color theme="1"/>
        <rFont val="Calibri"/>
        <family val="2"/>
      </rPr>
      <t>≤ V ≤</t>
    </r>
    <r>
      <rPr>
        <sz val="10"/>
        <color theme="1"/>
        <rFont val="Calibri"/>
        <family val="2"/>
        <scheme val="minor"/>
      </rPr>
      <t xml:space="preserve"> 2000 mL</t>
    </r>
  </si>
  <si>
    <t>Graduasi dan Inskripsi / 
Graduation and Inscription</t>
  </si>
  <si>
    <t>No. Timbangan / 
No. Measurement</t>
  </si>
  <si>
    <t>VERIFIKASI BULB PIPET/ VERIFICATION OF BULB PIPETTE</t>
  </si>
  <si>
    <t>X4</t>
  </si>
  <si>
    <t>X5</t>
  </si>
  <si>
    <t xml:space="preserve">     Tarikh/Date:</t>
  </si>
  <si>
    <t>Informasi Bulb Pipet Yang Diuji / Information of the Unit under Test (UUT):</t>
  </si>
  <si>
    <t>Keadaan Bahagian Dalam /        Inner Surface Condition</t>
  </si>
  <si>
    <t>Kelas / Class</t>
  </si>
  <si>
    <t>Kelas A / A Class</t>
  </si>
  <si>
    <t>Kelas B / B Class</t>
  </si>
  <si>
    <t>Berat / Weight</t>
  </si>
  <si>
    <t>Purata / Mean</t>
  </si>
  <si>
    <t xml:space="preserve">Purata Isipadu / Average Volume </t>
  </si>
  <si>
    <t xml:space="preserve">Ralat yang dijumpai / Error Found </t>
  </si>
  <si>
    <r>
      <t xml:space="preserve">100 uL &lt; V </t>
    </r>
    <r>
      <rPr>
        <sz val="10"/>
        <color theme="1"/>
        <rFont val="Calibri"/>
        <family val="2"/>
      </rPr>
      <t xml:space="preserve">≤ </t>
    </r>
    <r>
      <rPr>
        <sz val="10"/>
        <color theme="1"/>
        <rFont val="Calibri"/>
        <family val="2"/>
        <scheme val="minor"/>
      </rPr>
      <t>10 mL</t>
    </r>
  </si>
  <si>
    <t>MSRP21050555</t>
  </si>
  <si>
    <t>AI.T2209.S0996</t>
  </si>
  <si>
    <t>Kaca / Glass</t>
  </si>
  <si>
    <t>Plastik / Plastic</t>
  </si>
  <si>
    <t>Termohigrometer / Thermohygrometer</t>
  </si>
  <si>
    <t>Kelembaban Relatif / 
Relative Humidity</t>
  </si>
  <si>
    <t>%</t>
  </si>
  <si>
    <t>Suhu Bilik / 
Room Temperature</t>
  </si>
  <si>
    <r>
      <rPr>
        <b/>
        <vertAlign val="superscript"/>
        <sz val="10"/>
        <color theme="1"/>
        <rFont val="Calibri"/>
        <family val="2"/>
        <scheme val="minor"/>
      </rPr>
      <t>o</t>
    </r>
    <r>
      <rPr>
        <b/>
        <sz val="10"/>
        <color theme="1"/>
        <rFont val="Calibri"/>
        <family val="2"/>
        <scheme val="minor"/>
      </rPr>
      <t xml:space="preserve"> 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</si>
</sst>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"/>
    <numFmt numFmtId="166" formatCode="0.000"/>
  </numFmts>
  <fonts count="22" x14ac:knownFonts="1"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8"/>
      <color theme="1"/>
      <name val="Calibri"/>
      <family val="2"/>
    </font>
    <font>
      <i/>
      <vertAlign val="superscript"/>
      <sz val="8"/>
      <color theme="1"/>
      <name val="Calibri"/>
      <family val="2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vertAlign val="superscript"/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0"/>
      <name val="Arial"/>
      <family val="2"/>
    </font>
    <font>
      <b/>
      <vertAlign val="superscript"/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6" fillId="0" borderId="0" xfId="0" applyFont="1"/>
    <xf numFmtId="0" fontId="6" fillId="0" borderId="12" xfId="0" applyFont="1" applyBorder="1"/>
    <xf numFmtId="0" fontId="6" fillId="0" borderId="0" xfId="0" applyFont="1" applyAlignment="1">
      <alignment horizontal="left"/>
    </xf>
    <xf numFmtId="0" fontId="1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 wrapText="1"/>
    </xf>
    <xf numFmtId="0" fontId="7" fillId="3" borderId="1" xfId="0" applyFont="1" applyFill="1" applyBorder="1"/>
    <xf numFmtId="0" fontId="6" fillId="0" borderId="20" xfId="0" applyFont="1" applyBorder="1" applyAlignment="1">
      <alignment horizontal="left" wrapText="1"/>
    </xf>
    <xf numFmtId="0" fontId="6" fillId="0" borderId="20" xfId="0" applyFont="1" applyBorder="1"/>
    <xf numFmtId="0" fontId="6" fillId="0" borderId="20" xfId="0" applyFont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0" fontId="1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4" xfId="0" applyFont="1" applyBorder="1" applyAlignment="1">
      <alignment horizontal="center" vertical="top" wrapText="1"/>
    </xf>
    <xf numFmtId="0" fontId="10" fillId="0" borderId="31" xfId="0" applyFont="1" applyBorder="1" applyAlignment="1">
      <alignment wrapText="1"/>
    </xf>
    <xf numFmtId="164" fontId="0" fillId="0" borderId="4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/>
    </xf>
    <xf numFmtId="0" fontId="10" fillId="0" borderId="36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6" fillId="4" borderId="4" xfId="0" applyFont="1" applyFill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6" fillId="0" borderId="0" xfId="0" applyNumberFormat="1" applyFont="1"/>
    <xf numFmtId="166" fontId="6" fillId="0" borderId="0" xfId="0" applyNumberFormat="1" applyFont="1"/>
    <xf numFmtId="0" fontId="8" fillId="0" borderId="0" xfId="0" applyFont="1" applyAlignment="1">
      <alignment horizontal="left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center" vertical="top"/>
    </xf>
    <xf numFmtId="0" fontId="11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165" fontId="6" fillId="6" borderId="0" xfId="0" applyNumberFormat="1" applyFont="1" applyFill="1" applyAlignment="1">
      <alignment vertical="top"/>
    </xf>
    <xf numFmtId="0" fontId="10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0" fillId="0" borderId="0" xfId="0" applyFont="1" applyAlignment="1">
      <alignment wrapText="1"/>
    </xf>
    <xf numFmtId="2" fontId="0" fillId="0" borderId="4" xfId="0" applyNumberFormat="1" applyBorder="1" applyAlignment="1" applyProtection="1">
      <alignment horizontal="center"/>
      <protection locked="0"/>
    </xf>
    <xf numFmtId="2" fontId="0" fillId="0" borderId="0" xfId="0" applyNumberFormat="1"/>
    <xf numFmtId="0" fontId="0" fillId="5" borderId="37" xfId="0" applyFill="1" applyBorder="1" applyAlignment="1">
      <alignment horizontal="center" wrapText="1"/>
    </xf>
    <xf numFmtId="2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20" xfId="0" applyFont="1" applyBorder="1" applyAlignment="1">
      <alignment horizontal="left" vertical="top" wrapText="1"/>
    </xf>
    <xf numFmtId="14" fontId="19" fillId="6" borderId="0" xfId="0" applyNumberFormat="1" applyFont="1" applyFill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14" fontId="19" fillId="0" borderId="20" xfId="0" applyNumberFormat="1" applyFont="1" applyBorder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2" fillId="0" borderId="0" xfId="0" applyFont="1" applyFill="1"/>
    <xf numFmtId="0" fontId="7" fillId="2" borderId="3" xfId="0" applyFont="1" applyFill="1" applyBorder="1" applyAlignment="1">
      <alignment horizontal="right" vertical="center"/>
    </xf>
    <xf numFmtId="14" fontId="19" fillId="7" borderId="11" xfId="0" applyNumberFormat="1" applyFont="1" applyFill="1" applyBorder="1" applyAlignment="1">
      <alignment horizontal="center" vertical="center"/>
    </xf>
    <xf numFmtId="14" fontId="19" fillId="7" borderId="12" xfId="0" applyNumberFormat="1" applyFont="1" applyFill="1" applyBorder="1" applyAlignment="1">
      <alignment horizontal="center" vertical="center"/>
    </xf>
    <xf numFmtId="14" fontId="19" fillId="7" borderId="13" xfId="0" applyNumberFormat="1" applyFont="1" applyFill="1" applyBorder="1" applyAlignment="1">
      <alignment horizontal="center" vertical="center"/>
    </xf>
    <xf numFmtId="14" fontId="19" fillId="7" borderId="14" xfId="0" applyNumberFormat="1" applyFont="1" applyFill="1" applyBorder="1" applyAlignment="1">
      <alignment horizontal="center" vertical="center"/>
    </xf>
    <xf numFmtId="14" fontId="19" fillId="7" borderId="15" xfId="0" applyNumberFormat="1" applyFont="1" applyFill="1" applyBorder="1" applyAlignment="1">
      <alignment horizontal="center" vertical="center"/>
    </xf>
    <xf numFmtId="14" fontId="19" fillId="7" borderId="1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7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165" fontId="7" fillId="6" borderId="8" xfId="0" applyNumberFormat="1" applyFont="1" applyFill="1" applyBorder="1" applyAlignment="1">
      <alignment horizontal="center" vertical="top"/>
    </xf>
    <xf numFmtId="165" fontId="7" fillId="6" borderId="9" xfId="0" applyNumberFormat="1" applyFont="1" applyFill="1" applyBorder="1" applyAlignment="1">
      <alignment horizontal="center" vertical="top"/>
    </xf>
    <xf numFmtId="165" fontId="19" fillId="2" borderId="4" xfId="0" applyNumberFormat="1" applyFont="1" applyFill="1" applyBorder="1" applyAlignment="1">
      <alignment horizontal="center" vertical="top"/>
    </xf>
    <xf numFmtId="165" fontId="19" fillId="2" borderId="24" xfId="0" applyNumberFormat="1" applyFont="1" applyFill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165" fontId="7" fillId="6" borderId="23" xfId="0" applyNumberFormat="1" applyFont="1" applyFill="1" applyBorder="1" applyAlignment="1">
      <alignment horizontal="center" vertical="top"/>
    </xf>
    <xf numFmtId="165" fontId="7" fillId="6" borderId="4" xfId="0" applyNumberFormat="1" applyFont="1" applyFill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24" xfId="0" applyFont="1" applyBorder="1" applyAlignment="1">
      <alignment horizontal="center" vertical="top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19" fillId="7" borderId="1" xfId="0" applyFont="1" applyFill="1" applyBorder="1" applyAlignment="1">
      <alignment horizontal="center"/>
    </xf>
    <xf numFmtId="0" fontId="19" fillId="7" borderId="2" xfId="0" applyFont="1" applyFill="1" applyBorder="1" applyAlignment="1">
      <alignment horizontal="center"/>
    </xf>
    <xf numFmtId="0" fontId="19" fillId="7" borderId="3" xfId="0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 vertical="top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7" borderId="32" xfId="0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7" borderId="16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0" borderId="0" xfId="0" applyFont="1" applyAlignment="1">
      <alignment horizontal="left" wrapText="1"/>
    </xf>
    <xf numFmtId="14" fontId="19" fillId="7" borderId="1" xfId="0" applyNumberFormat="1" applyFont="1" applyFill="1" applyBorder="1" applyAlignment="1">
      <alignment horizontal="center" vertical="center"/>
    </xf>
    <xf numFmtId="14" fontId="19" fillId="7" borderId="2" xfId="0" applyNumberFormat="1" applyFont="1" applyFill="1" applyBorder="1" applyAlignment="1">
      <alignment horizontal="center" vertical="center"/>
    </xf>
    <xf numFmtId="14" fontId="19" fillId="7" borderId="3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9" fillId="2" borderId="8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7" fillId="0" borderId="7" xfId="0" applyFont="1" applyBorder="1" applyAlignment="1">
      <alignment horizontal="center"/>
    </xf>
    <xf numFmtId="164" fontId="19" fillId="0" borderId="9" xfId="0" applyNumberFormat="1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top"/>
    </xf>
    <xf numFmtId="0" fontId="7" fillId="0" borderId="5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166" fontId="19" fillId="6" borderId="23" xfId="0" applyNumberFormat="1" applyFont="1" applyFill="1" applyBorder="1" applyAlignment="1">
      <alignment horizontal="center" vertical="top"/>
    </xf>
    <xf numFmtId="166" fontId="19" fillId="6" borderId="4" xfId="0" applyNumberFormat="1" applyFont="1" applyFill="1" applyBorder="1" applyAlignment="1">
      <alignment horizontal="center" vertical="top"/>
    </xf>
    <xf numFmtId="166" fontId="19" fillId="6" borderId="24" xfId="0" applyNumberFormat="1" applyFont="1" applyFill="1" applyBorder="1" applyAlignment="1">
      <alignment horizontal="center" vertical="top"/>
    </xf>
    <xf numFmtId="0" fontId="21" fillId="0" borderId="43" xfId="0" applyFont="1" applyBorder="1" applyAlignment="1">
      <alignment horizontal="center" vertical="top"/>
    </xf>
    <xf numFmtId="0" fontId="21" fillId="0" borderId="44" xfId="0" applyFont="1" applyBorder="1" applyAlignment="1">
      <alignment horizontal="center" vertical="top"/>
    </xf>
    <xf numFmtId="0" fontId="21" fillId="0" borderId="45" xfId="0" applyFont="1" applyBorder="1" applyAlignment="1">
      <alignment horizontal="center" vertical="top"/>
    </xf>
    <xf numFmtId="165" fontId="19" fillId="6" borderId="23" xfId="0" applyNumberFormat="1" applyFont="1" applyFill="1" applyBorder="1" applyAlignment="1">
      <alignment horizontal="center" vertical="top"/>
    </xf>
    <xf numFmtId="165" fontId="19" fillId="6" borderId="4" xfId="0" applyNumberFormat="1" applyFont="1" applyFill="1" applyBorder="1" applyAlignment="1">
      <alignment horizontal="center" vertical="top"/>
    </xf>
    <xf numFmtId="165" fontId="19" fillId="6" borderId="24" xfId="0" applyNumberFormat="1" applyFont="1" applyFill="1" applyBorder="1" applyAlignment="1">
      <alignment horizontal="center" vertical="top"/>
    </xf>
    <xf numFmtId="165" fontId="19" fillId="6" borderId="46" xfId="0" applyNumberFormat="1" applyFont="1" applyFill="1" applyBorder="1" applyAlignment="1">
      <alignment horizontal="center" vertical="top"/>
    </xf>
    <xf numFmtId="165" fontId="19" fillId="6" borderId="22" xfId="0" applyNumberFormat="1" applyFont="1" applyFill="1" applyBorder="1" applyAlignment="1">
      <alignment horizontal="center" vertical="top"/>
    </xf>
    <xf numFmtId="165" fontId="19" fillId="6" borderId="47" xfId="0" applyNumberFormat="1" applyFont="1" applyFill="1" applyBorder="1" applyAlignment="1">
      <alignment horizontal="center" vertical="top"/>
    </xf>
    <xf numFmtId="0" fontId="10" fillId="0" borderId="4" xfId="0" applyFont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165" fontId="10" fillId="0" borderId="33" xfId="0" applyNumberFormat="1" applyFont="1" applyBorder="1" applyAlignment="1">
      <alignment horizontal="center" vertical="center"/>
    </xf>
    <xf numFmtId="165" fontId="10" fillId="0" borderId="34" xfId="0" applyNumberFormat="1" applyFont="1" applyBorder="1" applyAlignment="1">
      <alignment horizontal="center" vertical="center"/>
    </xf>
    <xf numFmtId="165" fontId="10" fillId="0" borderId="35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14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5" borderId="37" xfId="0" applyFill="1" applyBorder="1" applyAlignment="1" applyProtection="1">
      <alignment horizontal="center" wrapText="1"/>
      <protection locked="0"/>
    </xf>
    <xf numFmtId="0" fontId="0" fillId="5" borderId="38" xfId="0" applyFill="1" applyBorder="1" applyAlignment="1" applyProtection="1">
      <alignment horizontal="center" wrapText="1"/>
      <protection locked="0"/>
    </xf>
    <xf numFmtId="0" fontId="0" fillId="0" borderId="3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10" fillId="0" borderId="36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0" fillId="0" borderId="3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19" fillId="7" borderId="40" xfId="0" applyFont="1" applyFill="1" applyBorder="1" applyAlignment="1">
      <alignment horizontal="center" vertical="top"/>
    </xf>
    <xf numFmtId="0" fontId="19" fillId="7" borderId="41" xfId="0" applyFont="1" applyFill="1" applyBorder="1" applyAlignment="1">
      <alignment horizontal="center" vertical="top"/>
    </xf>
    <xf numFmtId="0" fontId="19" fillId="7" borderId="42" xfId="0" applyFont="1" applyFill="1" applyBorder="1" applyAlignment="1">
      <alignment horizontal="center" vertical="top"/>
    </xf>
    <xf numFmtId="0" fontId="6" fillId="7" borderId="8" xfId="0" applyFont="1" applyFill="1" applyBorder="1"/>
    <xf numFmtId="0" fontId="6" fillId="7" borderId="9" xfId="0" applyFont="1" applyFill="1" applyBorder="1"/>
    <xf numFmtId="0" fontId="6" fillId="7" borderId="25" xfId="0" applyFont="1" applyFill="1" applyBorder="1" applyAlignment="1">
      <alignment horizontal="center"/>
    </xf>
    <xf numFmtId="0" fontId="6" fillId="7" borderId="26" xfId="0" applyFont="1" applyFill="1" applyBorder="1" applyAlignment="1">
      <alignment horizontal="center"/>
    </xf>
    <xf numFmtId="0" fontId="6" fillId="7" borderId="2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57350236904777"/>
          <c:y val="0.1121546237146569"/>
          <c:w val="0.79983843208123573"/>
          <c:h val="0.7545811424734698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[1]SP181248258!$B$7:$B$9</c:f>
              <c:numCache>
                <c:formatCode>General</c:formatCode>
                <c:ptCount val="3"/>
                <c:pt idx="0">
                  <c:v>20.2</c:v>
                </c:pt>
                <c:pt idx="1">
                  <c:v>25</c:v>
                </c:pt>
                <c:pt idx="2">
                  <c:v>29.9</c:v>
                </c:pt>
              </c:numCache>
            </c:numRef>
          </c:xVal>
          <c:yVal>
            <c:numRef>
              <c:f>[1]SP181248258!$D$7:$D$9</c:f>
              <c:numCache>
                <c:formatCode>General</c:formatCode>
                <c:ptCount val="3"/>
                <c:pt idx="0">
                  <c:v>20</c:v>
                </c:pt>
                <c:pt idx="1">
                  <c:v>25</c:v>
                </c:pt>
                <c:pt idx="2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C9-487D-88C0-39FEFA836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59008"/>
        <c:axId val="47265280"/>
      </c:scatterChart>
      <c:valAx>
        <c:axId val="47259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b="1">
                    <a:solidFill>
                      <a:sysClr val="windowText" lastClr="000000"/>
                    </a:solidFill>
                  </a:rPr>
                  <a:t>Test Thermometer Temperature Reading (°C)</a:t>
                </a:r>
              </a:p>
            </c:rich>
          </c:tx>
          <c:layout>
            <c:manualLayout>
              <c:xMode val="edge"/>
              <c:yMode val="edge"/>
              <c:x val="0.20695322016446718"/>
              <c:y val="0.928680414948131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5280"/>
        <c:crosses val="autoZero"/>
        <c:crossBetween val="midCat"/>
      </c:valAx>
      <c:valAx>
        <c:axId val="472652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MY" b="1">
                    <a:solidFill>
                      <a:sysClr val="windowText" lastClr="000000"/>
                    </a:solidFill>
                    <a:effectLst/>
                  </a:rPr>
                  <a:t>Actual Temperature Reading (°C)</a:t>
                </a:r>
              </a:p>
            </c:rich>
          </c:tx>
          <c:layout>
            <c:manualLayout>
              <c:xMode val="edge"/>
              <c:yMode val="edge"/>
              <c:x val="3.0266583275868533E-3"/>
              <c:y val="0.12649278215223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57350236904777"/>
          <c:y val="0.1121546237146569"/>
          <c:w val="0.79983843208123573"/>
          <c:h val="0.7545811424734698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[3]SP181248258!$B$7:$B$9</c:f>
              <c:numCache>
                <c:formatCode>General</c:formatCode>
                <c:ptCount val="3"/>
                <c:pt idx="0">
                  <c:v>20.2</c:v>
                </c:pt>
                <c:pt idx="1">
                  <c:v>25.3</c:v>
                </c:pt>
                <c:pt idx="2">
                  <c:v>30.4</c:v>
                </c:pt>
              </c:numCache>
            </c:numRef>
          </c:xVal>
          <c:yVal>
            <c:numRef>
              <c:f>[3]SP181248258!$D$7:$D$9</c:f>
              <c:numCache>
                <c:formatCode>General</c:formatCode>
                <c:ptCount val="3"/>
                <c:pt idx="0">
                  <c:v>20</c:v>
                </c:pt>
                <c:pt idx="1">
                  <c:v>25</c:v>
                </c:pt>
                <c:pt idx="2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8-42C7-B34C-A7A831AB9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9696"/>
        <c:axId val="86435712"/>
      </c:scatterChart>
      <c:valAx>
        <c:axId val="57629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b="1">
                    <a:solidFill>
                      <a:sysClr val="windowText" lastClr="000000"/>
                    </a:solidFill>
                  </a:rPr>
                  <a:t>Test Thermometer Temperature Reading (°C)</a:t>
                </a:r>
              </a:p>
            </c:rich>
          </c:tx>
          <c:layout>
            <c:manualLayout>
              <c:xMode val="edge"/>
              <c:yMode val="edge"/>
              <c:x val="0.20695322016446718"/>
              <c:y val="0.928680414948131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35712"/>
        <c:crosses val="autoZero"/>
        <c:crossBetween val="midCat"/>
      </c:valAx>
      <c:valAx>
        <c:axId val="864357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MY" b="1">
                    <a:solidFill>
                      <a:sysClr val="windowText" lastClr="000000"/>
                    </a:solidFill>
                    <a:effectLst/>
                  </a:rPr>
                  <a:t>Actual Temperature Reading (°C)</a:t>
                </a:r>
              </a:p>
            </c:rich>
          </c:tx>
          <c:layout>
            <c:manualLayout>
              <c:xMode val="edge"/>
              <c:yMode val="edge"/>
              <c:x val="3.0266583275868533E-3"/>
              <c:y val="0.12649278215223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57350236904777"/>
          <c:y val="0.1121546237146569"/>
          <c:w val="0.79983843208123573"/>
          <c:h val="0.7545811424734698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[3]SP111668831!$B$7:$B$11</c:f>
              <c:numCache>
                <c:formatCode>General</c:formatCode>
                <c:ptCount val="5"/>
                <c:pt idx="0">
                  <c:v>20.2</c:v>
                </c:pt>
                <c:pt idx="1">
                  <c:v>25.3</c:v>
                </c:pt>
                <c:pt idx="2">
                  <c:v>30.6</c:v>
                </c:pt>
              </c:numCache>
            </c:numRef>
          </c:xVal>
          <c:yVal>
            <c:numRef>
              <c:f>[3]SP111668831!$D$7:$D$11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61-4226-8E0D-392DB7DE1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97536"/>
        <c:axId val="57303808"/>
      </c:scatterChart>
      <c:valAx>
        <c:axId val="57297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b="1">
                    <a:solidFill>
                      <a:sysClr val="windowText" lastClr="000000"/>
                    </a:solidFill>
                  </a:rPr>
                  <a:t>Test Thermometer Temperature Reading (°C)</a:t>
                </a:r>
              </a:p>
            </c:rich>
          </c:tx>
          <c:layout>
            <c:manualLayout>
              <c:xMode val="edge"/>
              <c:yMode val="edge"/>
              <c:x val="0.20695322016446718"/>
              <c:y val="0.928680414948131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03808"/>
        <c:crosses val="autoZero"/>
        <c:crossBetween val="midCat"/>
      </c:valAx>
      <c:valAx>
        <c:axId val="573038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en-MY" b="1">
                    <a:solidFill>
                      <a:sysClr val="windowText" lastClr="000000"/>
                    </a:solidFill>
                    <a:effectLst/>
                  </a:rPr>
                  <a:t>Actual Temperature Reading (°C)</a:t>
                </a:r>
              </a:p>
            </c:rich>
          </c:tx>
          <c:layout>
            <c:manualLayout>
              <c:xMode val="edge"/>
              <c:yMode val="edge"/>
              <c:x val="3.0266583275868533E-3"/>
              <c:y val="0.12649278215223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571500</xdr:colOff>
          <xdr:row>5</xdr:row>
          <xdr:rowOff>19050</xdr:rowOff>
        </xdr:from>
        <xdr:to>
          <xdr:col>9</xdr:col>
          <xdr:colOff>209550</xdr:colOff>
          <xdr:row>7</xdr:row>
          <xdr:rowOff>28575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571500</xdr:colOff>
          <xdr:row>6</xdr:row>
          <xdr:rowOff>180975</xdr:rowOff>
        </xdr:from>
        <xdr:to>
          <xdr:col>10</xdr:col>
          <xdr:colOff>0</xdr:colOff>
          <xdr:row>9</xdr:row>
          <xdr:rowOff>19050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571500</xdr:colOff>
          <xdr:row>6</xdr:row>
          <xdr:rowOff>180975</xdr:rowOff>
        </xdr:from>
        <xdr:to>
          <xdr:col>12</xdr:col>
          <xdr:colOff>209550</xdr:colOff>
          <xdr:row>9</xdr:row>
          <xdr:rowOff>28575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</xdr:row>
          <xdr:rowOff>9525</xdr:rowOff>
        </xdr:from>
        <xdr:to>
          <xdr:col>10</xdr:col>
          <xdr:colOff>0</xdr:colOff>
          <xdr:row>16</xdr:row>
          <xdr:rowOff>28575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571500</xdr:colOff>
          <xdr:row>14</xdr:row>
          <xdr:rowOff>9525</xdr:rowOff>
        </xdr:from>
        <xdr:to>
          <xdr:col>12</xdr:col>
          <xdr:colOff>209550</xdr:colOff>
          <xdr:row>16</xdr:row>
          <xdr:rowOff>38100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571500</xdr:colOff>
          <xdr:row>17</xdr:row>
          <xdr:rowOff>161925</xdr:rowOff>
        </xdr:from>
        <xdr:to>
          <xdr:col>9</xdr:col>
          <xdr:colOff>209550</xdr:colOff>
          <xdr:row>20</xdr:row>
          <xdr:rowOff>19050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571500</xdr:colOff>
          <xdr:row>20</xdr:row>
          <xdr:rowOff>19050</xdr:rowOff>
        </xdr:from>
        <xdr:to>
          <xdr:col>9</xdr:col>
          <xdr:colOff>209550</xdr:colOff>
          <xdr:row>22</xdr:row>
          <xdr:rowOff>28575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571500</xdr:colOff>
          <xdr:row>24</xdr:row>
          <xdr:rowOff>0</xdr:rowOff>
        </xdr:from>
        <xdr:to>
          <xdr:col>9</xdr:col>
          <xdr:colOff>209550</xdr:colOff>
          <xdr:row>26</xdr:row>
          <xdr:rowOff>38100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0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619125</xdr:colOff>
          <xdr:row>17</xdr:row>
          <xdr:rowOff>171450</xdr:rowOff>
        </xdr:from>
        <xdr:to>
          <xdr:col>19</xdr:col>
          <xdr:colOff>9525</xdr:colOff>
          <xdr:row>20</xdr:row>
          <xdr:rowOff>28575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619125</xdr:colOff>
          <xdr:row>20</xdr:row>
          <xdr:rowOff>19050</xdr:rowOff>
        </xdr:from>
        <xdr:to>
          <xdr:col>19</xdr:col>
          <xdr:colOff>9525</xdr:colOff>
          <xdr:row>22</xdr:row>
          <xdr:rowOff>28575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628650</xdr:colOff>
          <xdr:row>21</xdr:row>
          <xdr:rowOff>161925</xdr:rowOff>
        </xdr:from>
        <xdr:to>
          <xdr:col>19</xdr:col>
          <xdr:colOff>19050</xdr:colOff>
          <xdr:row>23</xdr:row>
          <xdr:rowOff>38100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628650</xdr:colOff>
          <xdr:row>22</xdr:row>
          <xdr:rowOff>142875</xdr:rowOff>
        </xdr:from>
        <xdr:to>
          <xdr:col>19</xdr:col>
          <xdr:colOff>19050</xdr:colOff>
          <xdr:row>25</xdr:row>
          <xdr:rowOff>9525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628650</xdr:colOff>
          <xdr:row>24</xdr:row>
          <xdr:rowOff>0</xdr:rowOff>
        </xdr:from>
        <xdr:to>
          <xdr:col>19</xdr:col>
          <xdr:colOff>19050</xdr:colOff>
          <xdr:row>26</xdr:row>
          <xdr:rowOff>28575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571500</xdr:colOff>
          <xdr:row>5</xdr:row>
          <xdr:rowOff>19050</xdr:rowOff>
        </xdr:from>
        <xdr:to>
          <xdr:col>12</xdr:col>
          <xdr:colOff>180975</xdr:colOff>
          <xdr:row>7</xdr:row>
          <xdr:rowOff>9525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9</xdr:row>
      <xdr:rowOff>247650</xdr:rowOff>
    </xdr:from>
    <xdr:to>
      <xdr:col>5</xdr:col>
      <xdr:colOff>323850</xdr:colOff>
      <xdr:row>18</xdr:row>
      <xdr:rowOff>1266824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76201</xdr:colOff>
      <xdr:row>9</xdr:row>
      <xdr:rowOff>247650</xdr:rowOff>
    </xdr:from>
    <xdr:to>
      <xdr:col>5</xdr:col>
      <xdr:colOff>323850</xdr:colOff>
      <xdr:row>18</xdr:row>
      <xdr:rowOff>1266824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209551</xdr:colOff>
      <xdr:row>9</xdr:row>
      <xdr:rowOff>304800</xdr:rowOff>
    </xdr:from>
    <xdr:to>
      <xdr:col>6</xdr:col>
      <xdr:colOff>133350</xdr:colOff>
      <xdr:row>18</xdr:row>
      <xdr:rowOff>1476374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kkk-abt-d037\Shared%20Folder%20UPM\Users\liewcarmen\Desktop\Verification\Temperature%20Correction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181248258"/>
      <sheetName val="SP111668831"/>
      <sheetName val="Sheet1"/>
    </sheetNames>
    <sheetDataSet>
      <sheetData sheetId="0">
        <row r="7">
          <cell r="B7">
            <v>20.2</v>
          </cell>
          <cell r="D7">
            <v>20</v>
          </cell>
        </row>
        <row r="8">
          <cell r="B8">
            <v>25</v>
          </cell>
          <cell r="D8">
            <v>25</v>
          </cell>
        </row>
        <row r="9">
          <cell r="B9">
            <v>29.9</v>
          </cell>
          <cell r="D9">
            <v>30</v>
          </cell>
        </row>
      </sheetData>
      <sheetData sheetId="1">
        <row r="7">
          <cell r="B7">
            <v>-0.3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91"/>
  <sheetViews>
    <sheetView tabSelected="1" view="pageLayout" topLeftCell="A52" zoomScaleNormal="100" workbookViewId="0">
      <selection activeCell="V17" sqref="V17"/>
    </sheetView>
  </sheetViews>
  <sheetFormatPr defaultRowHeight="12.75" x14ac:dyDescent="0.2"/>
  <cols>
    <col min="1" max="1" width="1.7109375" style="1" customWidth="1"/>
    <col min="2" max="2" width="9.140625" style="1"/>
    <col min="3" max="3" width="6.7109375" style="1" customWidth="1"/>
    <col min="4" max="4" width="9.140625" style="1"/>
    <col min="5" max="5" width="0.7109375" style="1" customWidth="1"/>
    <col min="6" max="7" width="0.5703125" style="1" customWidth="1"/>
    <col min="8" max="8" width="8" style="1" customWidth="1"/>
    <col min="9" max="9" width="8.140625" style="1" customWidth="1"/>
    <col min="10" max="10" width="3" style="1" customWidth="1"/>
    <col min="11" max="11" width="10.7109375" style="1" customWidth="1"/>
    <col min="12" max="12" width="8.140625" style="1" customWidth="1"/>
    <col min="13" max="13" width="3" style="1" customWidth="1"/>
    <col min="14" max="14" width="2.7109375" style="1" customWidth="1"/>
    <col min="15" max="15" width="2.85546875" style="1" customWidth="1"/>
    <col min="16" max="16" width="2" style="1" customWidth="1"/>
    <col min="17" max="17" width="2.7109375" style="1" customWidth="1"/>
    <col min="18" max="18" width="8.85546875" style="1" customWidth="1"/>
    <col min="19" max="19" width="2.85546875" style="1" customWidth="1"/>
    <col min="20" max="20" width="10.140625" style="1" customWidth="1"/>
    <col min="21" max="22" width="9.140625" style="1" customWidth="1"/>
    <col min="23" max="16384" width="9.140625" style="1"/>
  </cols>
  <sheetData>
    <row r="1" spans="1:20" ht="15" customHeight="1" x14ac:dyDescent="0.2">
      <c r="A1" s="92" t="s">
        <v>75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spans="1:20" ht="3" customHeight="1" thickBot="1" x14ac:dyDescent="0.25"/>
    <row r="3" spans="1:20" ht="13.5" thickBot="1" x14ac:dyDescent="0.25">
      <c r="A3" s="10">
        <v>1</v>
      </c>
      <c r="B3" s="68" t="s">
        <v>79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9"/>
    </row>
    <row r="4" spans="1:20" ht="3" customHeight="1" thickBo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20" ht="13.5" thickBot="1" x14ac:dyDescent="0.25">
      <c r="B5" s="86" t="s">
        <v>0</v>
      </c>
      <c r="C5" s="86"/>
      <c r="D5" s="86"/>
      <c r="E5" s="86"/>
      <c r="H5" s="106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8"/>
    </row>
    <row r="6" spans="1:20" ht="3" customHeight="1" x14ac:dyDescent="0.2">
      <c r="B6" s="3"/>
      <c r="C6" s="3"/>
      <c r="D6" s="3"/>
      <c r="E6" s="3"/>
    </row>
    <row r="7" spans="1:20" ht="14.25" customHeight="1" x14ac:dyDescent="0.2">
      <c r="B7" s="3" t="s">
        <v>81</v>
      </c>
      <c r="C7" s="3"/>
      <c r="D7" s="3"/>
      <c r="E7" s="3"/>
      <c r="H7" s="86" t="s">
        <v>82</v>
      </c>
      <c r="I7" s="86"/>
      <c r="J7" s="37"/>
      <c r="K7" s="86" t="s">
        <v>83</v>
      </c>
      <c r="L7" s="86"/>
      <c r="M7" s="4"/>
    </row>
    <row r="8" spans="1:20" ht="3" customHeight="1" x14ac:dyDescent="0.2">
      <c r="B8" s="3"/>
      <c r="C8" s="3"/>
      <c r="D8" s="3"/>
      <c r="E8" s="3"/>
    </row>
    <row r="9" spans="1:20" x14ac:dyDescent="0.2">
      <c r="B9" s="86" t="s">
        <v>1</v>
      </c>
      <c r="C9" s="86"/>
      <c r="D9" s="86"/>
      <c r="E9" s="86"/>
      <c r="H9" s="1" t="s">
        <v>91</v>
      </c>
      <c r="I9" s="4"/>
      <c r="J9" s="37"/>
      <c r="K9" s="86" t="s">
        <v>92</v>
      </c>
      <c r="L9" s="86"/>
      <c r="M9" s="4"/>
      <c r="N9" s="105"/>
      <c r="O9" s="105"/>
      <c r="P9" s="105"/>
      <c r="Q9" s="105"/>
      <c r="R9" s="105"/>
      <c r="S9" s="4"/>
    </row>
    <row r="10" spans="1:20" ht="3" customHeight="1" thickBot="1" x14ac:dyDescent="0.25">
      <c r="B10" s="3"/>
      <c r="C10" s="3"/>
      <c r="D10" s="3"/>
      <c r="E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0" ht="26.25" customHeight="1" thickBot="1" x14ac:dyDescent="0.25">
      <c r="B11" s="67" t="s">
        <v>68</v>
      </c>
      <c r="C11" s="67"/>
      <c r="D11" s="67"/>
      <c r="E11" s="67"/>
      <c r="H11" s="102"/>
      <c r="I11" s="103"/>
      <c r="J11" s="103"/>
      <c r="K11" s="103"/>
      <c r="L11" s="103"/>
      <c r="M11" s="103"/>
      <c r="N11" s="103"/>
      <c r="O11" s="103"/>
      <c r="P11" s="103"/>
      <c r="Q11" s="103"/>
      <c r="R11" s="104"/>
      <c r="S11" s="5" t="s">
        <v>5</v>
      </c>
    </row>
    <row r="12" spans="1:20" ht="3" customHeight="1" thickBot="1" x14ac:dyDescent="0.25">
      <c r="B12" s="3"/>
      <c r="C12" s="3"/>
      <c r="D12" s="3"/>
      <c r="E12" s="3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20" ht="15" customHeight="1" x14ac:dyDescent="0.2">
      <c r="B13" s="93" t="s">
        <v>2</v>
      </c>
      <c r="C13" s="93"/>
      <c r="D13" s="93"/>
      <c r="E13" s="93"/>
      <c r="H13" s="32" t="s">
        <v>3</v>
      </c>
      <c r="I13" s="33" t="s">
        <v>4</v>
      </c>
      <c r="J13" s="94" t="s">
        <v>43</v>
      </c>
      <c r="K13" s="95"/>
      <c r="L13" s="95"/>
      <c r="M13" s="95"/>
      <c r="N13" s="96"/>
      <c r="O13" s="97" t="s">
        <v>44</v>
      </c>
      <c r="P13" s="97"/>
      <c r="Q13" s="97"/>
      <c r="R13" s="98"/>
    </row>
    <row r="14" spans="1:20" ht="15.75" customHeight="1" thickBot="1" x14ac:dyDescent="0.25">
      <c r="B14" s="93"/>
      <c r="C14" s="93"/>
      <c r="D14" s="93"/>
      <c r="E14" s="93"/>
      <c r="H14" s="190"/>
      <c r="I14" s="191"/>
      <c r="J14" s="192"/>
      <c r="K14" s="193"/>
      <c r="L14" s="193"/>
      <c r="M14" s="193"/>
      <c r="N14" s="194"/>
      <c r="O14" s="99"/>
      <c r="P14" s="100"/>
      <c r="Q14" s="100"/>
      <c r="R14" s="101"/>
      <c r="S14" s="5" t="s">
        <v>5</v>
      </c>
    </row>
    <row r="15" spans="1:20" ht="3" customHeight="1" x14ac:dyDescent="0.2">
      <c r="B15" s="7"/>
      <c r="C15" s="7"/>
      <c r="D15" s="7"/>
      <c r="E15" s="7"/>
      <c r="J15" s="6"/>
      <c r="K15" s="6"/>
      <c r="L15" s="6"/>
      <c r="M15" s="6"/>
      <c r="N15" s="6"/>
      <c r="O15" s="6"/>
      <c r="P15" s="8"/>
      <c r="Q15" s="8"/>
      <c r="R15" s="8"/>
    </row>
    <row r="16" spans="1:20" x14ac:dyDescent="0.2">
      <c r="B16" s="67" t="s">
        <v>13</v>
      </c>
      <c r="C16" s="67"/>
      <c r="D16" s="67"/>
      <c r="E16" s="67"/>
      <c r="F16" s="9"/>
      <c r="G16" s="9"/>
      <c r="H16" s="4" t="s">
        <v>6</v>
      </c>
      <c r="J16" s="37"/>
      <c r="K16" s="105" t="s">
        <v>7</v>
      </c>
      <c r="L16" s="105"/>
      <c r="M16" s="6"/>
    </row>
    <row r="17" spans="1:20" ht="13.5" thickBot="1" x14ac:dyDescent="0.25">
      <c r="B17" s="67"/>
      <c r="C17" s="67"/>
      <c r="D17" s="67"/>
      <c r="E17" s="67"/>
      <c r="F17" s="9"/>
      <c r="G17" s="9"/>
    </row>
    <row r="18" spans="1:20" ht="13.5" thickBot="1" x14ac:dyDescent="0.25">
      <c r="A18" s="10">
        <v>2</v>
      </c>
      <c r="B18" s="68" t="s">
        <v>16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</row>
    <row r="19" spans="1:20" ht="3" customHeight="1" x14ac:dyDescent="0.2">
      <c r="A19" s="5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2"/>
    </row>
    <row r="20" spans="1:20" x14ac:dyDescent="0.2">
      <c r="B20" s="86" t="s">
        <v>8</v>
      </c>
      <c r="C20" s="86"/>
      <c r="D20" s="86"/>
      <c r="E20" s="86"/>
      <c r="F20" s="3"/>
      <c r="H20" s="1" t="s">
        <v>11</v>
      </c>
      <c r="K20" s="86" t="s">
        <v>12</v>
      </c>
      <c r="L20" s="86"/>
      <c r="M20" s="86"/>
      <c r="N20" s="86"/>
      <c r="O20" s="86"/>
      <c r="P20" s="86"/>
      <c r="Q20" s="86"/>
    </row>
    <row r="21" spans="1:20" ht="3" customHeight="1" x14ac:dyDescent="0.2"/>
    <row r="22" spans="1:20" ht="15" customHeight="1" x14ac:dyDescent="0.2">
      <c r="B22" s="67" t="s">
        <v>80</v>
      </c>
      <c r="C22" s="67"/>
      <c r="D22" s="67"/>
      <c r="E22" s="67"/>
      <c r="F22" s="14"/>
      <c r="H22" s="67" t="s">
        <v>19</v>
      </c>
      <c r="I22" s="67"/>
      <c r="K22" s="86" t="s">
        <v>10</v>
      </c>
      <c r="L22" s="86"/>
      <c r="M22" s="86"/>
      <c r="N22" s="86"/>
      <c r="O22" s="86"/>
      <c r="P22" s="86"/>
      <c r="Q22" s="86"/>
    </row>
    <row r="23" spans="1:20" x14ac:dyDescent="0.2">
      <c r="B23" s="67"/>
      <c r="C23" s="67"/>
      <c r="D23" s="67"/>
      <c r="E23" s="67"/>
      <c r="F23" s="14"/>
      <c r="H23" s="67"/>
      <c r="I23" s="67"/>
      <c r="K23" s="93" t="s">
        <v>9</v>
      </c>
      <c r="L23" s="93"/>
      <c r="M23" s="93" t="s">
        <v>14</v>
      </c>
      <c r="N23" s="93"/>
      <c r="O23" s="93"/>
      <c r="P23" s="93"/>
      <c r="Q23" s="93"/>
    </row>
    <row r="24" spans="1:20" x14ac:dyDescent="0.2">
      <c r="B24" s="67"/>
      <c r="C24" s="67"/>
      <c r="D24" s="67"/>
      <c r="E24" s="67"/>
      <c r="F24" s="14"/>
      <c r="H24" s="67"/>
      <c r="I24" s="67"/>
      <c r="K24" s="93"/>
      <c r="L24" s="93"/>
      <c r="M24" s="86" t="s">
        <v>15</v>
      </c>
      <c r="N24" s="86"/>
      <c r="O24" s="86"/>
      <c r="P24" s="86"/>
      <c r="Q24" s="86"/>
    </row>
    <row r="25" spans="1:20" ht="3" customHeight="1" x14ac:dyDescent="0.2"/>
    <row r="26" spans="1:20" x14ac:dyDescent="0.2">
      <c r="B26" s="67" t="s">
        <v>73</v>
      </c>
      <c r="C26" s="67"/>
      <c r="D26" s="67"/>
      <c r="E26" s="67"/>
      <c r="H26" s="67" t="s">
        <v>17</v>
      </c>
      <c r="I26" s="67"/>
      <c r="K26" s="67" t="s">
        <v>18</v>
      </c>
      <c r="L26" s="67"/>
      <c r="M26" s="67"/>
      <c r="N26" s="67"/>
      <c r="O26" s="67"/>
      <c r="P26" s="67"/>
      <c r="Q26" s="67"/>
    </row>
    <row r="27" spans="1:20" ht="13.5" thickBot="1" x14ac:dyDescent="0.25">
      <c r="B27" s="67"/>
      <c r="C27" s="67"/>
      <c r="D27" s="67"/>
      <c r="E27" s="67"/>
      <c r="H27" s="67"/>
      <c r="I27" s="67"/>
      <c r="K27" s="67"/>
      <c r="L27" s="67"/>
      <c r="M27" s="67"/>
      <c r="N27" s="67"/>
      <c r="O27" s="67"/>
      <c r="P27" s="67"/>
      <c r="Q27" s="67"/>
    </row>
    <row r="28" spans="1:20" ht="13.5" thickBot="1" x14ac:dyDescent="0.25">
      <c r="A28" s="10">
        <v>3</v>
      </c>
      <c r="B28" s="68" t="s">
        <v>20</v>
      </c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9"/>
    </row>
    <row r="29" spans="1:20" ht="3" customHeight="1" thickBot="1" x14ac:dyDescent="0.25">
      <c r="T29" s="2"/>
    </row>
    <row r="30" spans="1:20" ht="27" customHeight="1" thickBot="1" x14ac:dyDescent="0.25">
      <c r="A30" s="59">
        <v>1</v>
      </c>
      <c r="B30" s="67" t="s">
        <v>69</v>
      </c>
      <c r="C30" s="67"/>
      <c r="D30" s="67"/>
      <c r="E30" s="67"/>
      <c r="H30" s="113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5"/>
    </row>
    <row r="31" spans="1:20" ht="3" customHeight="1" thickBot="1" x14ac:dyDescent="0.25">
      <c r="B31" s="3"/>
      <c r="C31" s="3"/>
      <c r="D31" s="3"/>
      <c r="E31" s="3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1:20" ht="15.75" customHeight="1" thickBot="1" x14ac:dyDescent="0.25">
      <c r="B32" s="86" t="s">
        <v>21</v>
      </c>
      <c r="C32" s="86"/>
      <c r="D32" s="86"/>
      <c r="E32" s="86"/>
      <c r="H32" s="113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60"/>
    </row>
    <row r="33" spans="1:20" ht="3" customHeight="1" thickBot="1" x14ac:dyDescent="0.25"/>
    <row r="34" spans="1:20" ht="26.25" customHeight="1" thickBot="1" x14ac:dyDescent="0.25">
      <c r="B34" s="109" t="s">
        <v>23</v>
      </c>
      <c r="C34" s="86"/>
      <c r="D34" s="86"/>
      <c r="E34" s="86"/>
      <c r="H34" s="110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2"/>
    </row>
    <row r="35" spans="1:20" ht="3" customHeight="1" thickBot="1" x14ac:dyDescent="0.25"/>
    <row r="36" spans="1:20" x14ac:dyDescent="0.2">
      <c r="B36" s="109" t="s">
        <v>22</v>
      </c>
      <c r="C36" s="109"/>
      <c r="D36" s="109"/>
      <c r="E36" s="109"/>
      <c r="H36" s="116" t="s">
        <v>88</v>
      </c>
      <c r="I36" s="117"/>
      <c r="J36" s="90"/>
      <c r="K36" s="116" t="s">
        <v>71</v>
      </c>
      <c r="L36" s="117"/>
      <c r="M36" s="90"/>
      <c r="N36" s="116" t="s">
        <v>72</v>
      </c>
      <c r="O36" s="118"/>
      <c r="P36" s="118"/>
      <c r="Q36" s="118"/>
      <c r="R36" s="117"/>
      <c r="S36" s="90"/>
    </row>
    <row r="37" spans="1:20" ht="13.5" thickBot="1" x14ac:dyDescent="0.25">
      <c r="B37" s="109"/>
      <c r="C37" s="109"/>
      <c r="D37" s="109"/>
      <c r="E37" s="109"/>
      <c r="H37" s="83" t="s">
        <v>24</v>
      </c>
      <c r="I37" s="85"/>
      <c r="J37" s="91"/>
      <c r="K37" s="83" t="s">
        <v>25</v>
      </c>
      <c r="L37" s="85"/>
      <c r="M37" s="91"/>
      <c r="N37" s="83" t="s">
        <v>33</v>
      </c>
      <c r="O37" s="84"/>
      <c r="P37" s="84"/>
      <c r="Q37" s="84"/>
      <c r="R37" s="85"/>
      <c r="S37" s="91"/>
    </row>
    <row r="38" spans="1:20" ht="3" customHeight="1" x14ac:dyDescent="0.2">
      <c r="A38" s="12"/>
      <c r="B38" s="11"/>
      <c r="C38" s="11"/>
      <c r="D38" s="11"/>
      <c r="E38" s="11"/>
      <c r="F38" s="12"/>
      <c r="G38" s="1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2"/>
    </row>
    <row r="39" spans="1:20" ht="3" customHeight="1" thickBot="1" x14ac:dyDescent="0.25"/>
    <row r="40" spans="1:20" ht="13.5" thickBot="1" x14ac:dyDescent="0.25">
      <c r="A40" s="59" t="s">
        <v>46</v>
      </c>
      <c r="B40" s="86" t="s">
        <v>32</v>
      </c>
      <c r="C40" s="86"/>
      <c r="D40" s="86"/>
      <c r="E40" s="86"/>
      <c r="H40" s="87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9"/>
    </row>
    <row r="41" spans="1:20" ht="3" customHeight="1" thickBot="1" x14ac:dyDescent="0.25"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</row>
    <row r="42" spans="1:20" x14ac:dyDescent="0.2">
      <c r="B42" s="67" t="s">
        <v>47</v>
      </c>
      <c r="C42" s="67"/>
      <c r="D42" s="67"/>
      <c r="E42" s="67"/>
      <c r="H42" s="61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3"/>
    </row>
    <row r="43" spans="1:20" ht="13.5" thickBot="1" x14ac:dyDescent="0.25">
      <c r="B43" s="67"/>
      <c r="C43" s="67"/>
      <c r="D43" s="67"/>
      <c r="E43" s="67"/>
      <c r="H43" s="64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6"/>
    </row>
    <row r="44" spans="1:20" ht="3" customHeight="1" thickBot="1" x14ac:dyDescent="0.25">
      <c r="B44" s="14"/>
      <c r="C44" s="14"/>
      <c r="D44" s="14"/>
      <c r="E44" s="14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</row>
    <row r="45" spans="1:20" x14ac:dyDescent="0.2">
      <c r="B45" s="67" t="s">
        <v>26</v>
      </c>
      <c r="C45" s="67"/>
      <c r="D45" s="67"/>
      <c r="E45" s="67"/>
      <c r="H45" s="61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3"/>
    </row>
    <row r="46" spans="1:20" ht="13.5" thickBot="1" x14ac:dyDescent="0.25">
      <c r="B46" s="67"/>
      <c r="C46" s="67"/>
      <c r="D46" s="67"/>
      <c r="E46" s="67"/>
      <c r="H46" s="64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6"/>
    </row>
    <row r="47" spans="1:20" ht="4.5" customHeight="1" x14ac:dyDescent="0.2">
      <c r="A47" s="12"/>
      <c r="B47" s="52"/>
      <c r="C47" s="52"/>
      <c r="D47" s="52"/>
      <c r="E47" s="52"/>
      <c r="F47" s="12"/>
      <c r="G47" s="12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12"/>
    </row>
    <row r="48" spans="1:20" ht="3.75" customHeight="1" thickBot="1" x14ac:dyDescent="0.25">
      <c r="B48" s="14"/>
      <c r="C48" s="14"/>
      <c r="D48" s="14"/>
      <c r="E48" s="14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</row>
    <row r="49" spans="1:20" ht="26.25" customHeight="1" thickBot="1" x14ac:dyDescent="0.25">
      <c r="A49" s="59" t="s">
        <v>45</v>
      </c>
      <c r="B49" s="67" t="s">
        <v>93</v>
      </c>
      <c r="C49" s="67"/>
      <c r="D49" s="67"/>
      <c r="E49" s="14"/>
      <c r="H49" s="110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2"/>
    </row>
    <row r="50" spans="1:20" ht="3.75" customHeight="1" thickBot="1" x14ac:dyDescent="0.25">
      <c r="B50" s="14"/>
      <c r="C50" s="14"/>
      <c r="D50" s="14"/>
      <c r="E50" s="14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</row>
    <row r="51" spans="1:20" x14ac:dyDescent="0.2">
      <c r="B51" s="67" t="s">
        <v>47</v>
      </c>
      <c r="C51" s="67"/>
      <c r="D51" s="67"/>
      <c r="E51" s="67"/>
      <c r="H51" s="61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3"/>
    </row>
    <row r="52" spans="1:20" ht="13.5" thickBot="1" x14ac:dyDescent="0.25">
      <c r="B52" s="67"/>
      <c r="C52" s="67"/>
      <c r="D52" s="67"/>
      <c r="E52" s="67"/>
      <c r="H52" s="64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6"/>
    </row>
    <row r="53" spans="1:20" ht="3.75" customHeight="1" thickBot="1" x14ac:dyDescent="0.25">
      <c r="B53" s="14"/>
      <c r="C53" s="14"/>
      <c r="D53" s="14"/>
      <c r="E53" s="14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</row>
    <row r="54" spans="1:20" x14ac:dyDescent="0.2">
      <c r="B54" s="67" t="s">
        <v>26</v>
      </c>
      <c r="C54" s="67"/>
      <c r="D54" s="67"/>
      <c r="E54" s="67"/>
      <c r="H54" s="61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3"/>
    </row>
    <row r="55" spans="1:20" ht="13.5" thickBot="1" x14ac:dyDescent="0.25">
      <c r="B55" s="67"/>
      <c r="C55" s="67"/>
      <c r="D55" s="67"/>
      <c r="E55" s="67"/>
      <c r="H55" s="64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6"/>
    </row>
    <row r="56" spans="1:20" ht="3" customHeight="1" thickBot="1" x14ac:dyDescent="0.25"/>
    <row r="57" spans="1:20" ht="13.5" thickBot="1" x14ac:dyDescent="0.25">
      <c r="A57" s="10">
        <v>4</v>
      </c>
      <c r="B57" s="68" t="s">
        <v>27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9"/>
    </row>
    <row r="58" spans="1:20" ht="3" customHeight="1" thickBot="1" x14ac:dyDescent="0.25"/>
    <row r="59" spans="1:20" ht="25.5" customHeight="1" thickBot="1" x14ac:dyDescent="0.25">
      <c r="B59" s="109" t="s">
        <v>94</v>
      </c>
      <c r="C59" s="109"/>
      <c r="D59" s="109"/>
      <c r="E59" s="34"/>
      <c r="F59" s="34"/>
      <c r="G59" s="34"/>
      <c r="H59" s="133"/>
      <c r="I59" s="134"/>
      <c r="J59" s="58" t="s">
        <v>95</v>
      </c>
      <c r="K59" s="135" t="s">
        <v>96</v>
      </c>
      <c r="L59" s="135"/>
      <c r="M59" s="135"/>
      <c r="N59" s="136"/>
      <c r="O59" s="137"/>
      <c r="P59" s="137"/>
      <c r="Q59" s="137"/>
      <c r="R59" s="138"/>
      <c r="S59" s="58" t="s">
        <v>97</v>
      </c>
      <c r="T59" s="34"/>
    </row>
    <row r="60" spans="1:20" ht="4.5" customHeight="1" thickBot="1" x14ac:dyDescent="0.25"/>
    <row r="61" spans="1:20" ht="15" customHeight="1" x14ac:dyDescent="0.2">
      <c r="B61" s="86" t="s">
        <v>28</v>
      </c>
      <c r="C61" s="86"/>
      <c r="D61" s="86"/>
      <c r="E61" s="86"/>
      <c r="H61" s="120" t="s">
        <v>29</v>
      </c>
      <c r="I61" s="119"/>
      <c r="J61" s="119"/>
      <c r="K61" s="119" t="s">
        <v>30</v>
      </c>
      <c r="L61" s="119"/>
      <c r="M61" s="119"/>
      <c r="N61" s="119" t="s">
        <v>31</v>
      </c>
      <c r="O61" s="119"/>
      <c r="P61" s="119"/>
      <c r="Q61" s="119"/>
      <c r="R61" s="130"/>
    </row>
    <row r="62" spans="1:20" ht="24.75" customHeight="1" thickBot="1" x14ac:dyDescent="0.25">
      <c r="B62" s="129" t="s">
        <v>34</v>
      </c>
      <c r="C62" s="129"/>
      <c r="D62" s="129"/>
      <c r="E62" s="129"/>
      <c r="H62" s="127"/>
      <c r="I62" s="128"/>
      <c r="J62" s="128"/>
      <c r="K62" s="128"/>
      <c r="L62" s="128"/>
      <c r="M62" s="128"/>
      <c r="N62" s="131" t="e">
        <f>AVERAGE(H62:M62)</f>
        <v>#DIV/0!</v>
      </c>
      <c r="O62" s="131"/>
      <c r="P62" s="131"/>
      <c r="Q62" s="131"/>
      <c r="R62" s="132"/>
      <c r="S62" s="31" t="s">
        <v>37</v>
      </c>
    </row>
    <row r="63" spans="1:20" ht="3" customHeight="1" thickBot="1" x14ac:dyDescent="0.25"/>
    <row r="64" spans="1:20" ht="13.5" customHeight="1" thickBot="1" x14ac:dyDescent="0.25">
      <c r="B64" s="67" t="s">
        <v>35</v>
      </c>
      <c r="C64" s="67"/>
      <c r="D64" s="67"/>
      <c r="E64" s="67"/>
      <c r="H64" s="121"/>
      <c r="I64" s="122"/>
      <c r="J64" s="31" t="s">
        <v>37</v>
      </c>
      <c r="K64" s="126" t="s">
        <v>36</v>
      </c>
      <c r="L64" s="126"/>
      <c r="M64" s="126"/>
      <c r="N64" s="123" t="e">
        <f>VLOOKUP(H64,'Z Factor'!A1:B118,2,FALSE)</f>
        <v>#N/A</v>
      </c>
      <c r="O64" s="124"/>
      <c r="P64" s="124"/>
      <c r="Q64" s="124"/>
      <c r="R64" s="124"/>
      <c r="S64" s="125"/>
    </row>
    <row r="65" spans="2:20" ht="13.5" customHeight="1" x14ac:dyDescent="0.2">
      <c r="B65" s="67"/>
      <c r="C65" s="67"/>
      <c r="D65" s="67"/>
      <c r="E65" s="67"/>
    </row>
    <row r="66" spans="2:20" ht="3" customHeight="1" thickBot="1" x14ac:dyDescent="0.25"/>
    <row r="67" spans="2:20" ht="14.25" customHeight="1" x14ac:dyDescent="0.2">
      <c r="B67" s="38"/>
      <c r="C67" s="38"/>
      <c r="D67" s="39"/>
      <c r="E67" s="39"/>
      <c r="F67" s="39"/>
      <c r="G67" s="39"/>
      <c r="H67" s="39"/>
      <c r="I67" s="140" t="s">
        <v>42</v>
      </c>
      <c r="J67" s="141"/>
      <c r="K67" s="141"/>
      <c r="L67" s="141"/>
      <c r="M67" s="141"/>
      <c r="N67" s="141"/>
      <c r="O67" s="141"/>
      <c r="P67" s="142"/>
      <c r="Q67" s="5"/>
      <c r="R67" s="76" t="s">
        <v>70</v>
      </c>
      <c r="S67" s="76"/>
      <c r="T67" s="76"/>
    </row>
    <row r="68" spans="2:20" ht="13.5" customHeight="1" x14ac:dyDescent="0.2">
      <c r="B68" s="38"/>
      <c r="C68" s="38"/>
      <c r="D68" s="39"/>
      <c r="E68" s="39"/>
      <c r="F68" s="39"/>
      <c r="G68" s="39"/>
      <c r="H68" s="39"/>
      <c r="I68" s="77" t="s">
        <v>74</v>
      </c>
      <c r="J68" s="78"/>
      <c r="K68" s="78"/>
      <c r="L68" s="81" t="s">
        <v>84</v>
      </c>
      <c r="M68" s="81"/>
      <c r="N68" s="81"/>
      <c r="O68" s="81"/>
      <c r="P68" s="82"/>
      <c r="Q68" s="5"/>
      <c r="R68" s="5"/>
      <c r="S68" s="5"/>
    </row>
    <row r="69" spans="2:20" ht="15" customHeight="1" x14ac:dyDescent="0.2">
      <c r="B69" s="39"/>
      <c r="C69" s="39"/>
      <c r="D69" s="39"/>
      <c r="E69" s="39"/>
      <c r="F69" s="40"/>
      <c r="G69" s="40"/>
      <c r="H69" s="39"/>
      <c r="I69" s="79" t="s">
        <v>38</v>
      </c>
      <c r="J69" s="80"/>
      <c r="K69" s="80"/>
      <c r="L69" s="73"/>
      <c r="M69" s="73"/>
      <c r="N69" s="73"/>
      <c r="O69" s="73"/>
      <c r="P69" s="74"/>
      <c r="Q69" s="29"/>
      <c r="R69" s="29"/>
      <c r="S69" s="29"/>
    </row>
    <row r="70" spans="2:20" ht="15" customHeight="1" x14ac:dyDescent="0.2">
      <c r="B70" s="39"/>
      <c r="C70" s="39"/>
      <c r="D70" s="39"/>
      <c r="E70" s="39"/>
      <c r="F70" s="40"/>
      <c r="G70" s="40"/>
      <c r="H70" s="39"/>
      <c r="I70" s="79" t="s">
        <v>39</v>
      </c>
      <c r="J70" s="80"/>
      <c r="K70" s="80"/>
      <c r="L70" s="73"/>
      <c r="M70" s="73"/>
      <c r="N70" s="73"/>
      <c r="O70" s="73"/>
      <c r="P70" s="74"/>
      <c r="Q70" s="29"/>
      <c r="R70" s="29"/>
      <c r="S70" s="29"/>
    </row>
    <row r="71" spans="2:20" ht="15.75" customHeight="1" x14ac:dyDescent="0.2">
      <c r="B71" s="39"/>
      <c r="C71" s="39"/>
      <c r="D71" s="39"/>
      <c r="E71" s="39"/>
      <c r="F71" s="40"/>
      <c r="G71" s="40"/>
      <c r="H71" s="39"/>
      <c r="I71" s="79" t="s">
        <v>40</v>
      </c>
      <c r="J71" s="80"/>
      <c r="K71" s="80"/>
      <c r="L71" s="73"/>
      <c r="M71" s="73"/>
      <c r="N71" s="73"/>
      <c r="O71" s="73"/>
      <c r="P71" s="74"/>
      <c r="Q71" s="29"/>
      <c r="R71" s="29"/>
      <c r="S71" s="29"/>
    </row>
    <row r="72" spans="2:20" ht="15.75" customHeight="1" x14ac:dyDescent="0.2">
      <c r="B72" s="39"/>
      <c r="C72" s="39"/>
      <c r="D72" s="39"/>
      <c r="E72" s="39"/>
      <c r="F72" s="40"/>
      <c r="G72" s="40"/>
      <c r="H72" s="39"/>
      <c r="I72" s="79" t="s">
        <v>76</v>
      </c>
      <c r="J72" s="80"/>
      <c r="K72" s="80"/>
      <c r="L72" s="73"/>
      <c r="M72" s="73"/>
      <c r="N72" s="73"/>
      <c r="O72" s="73"/>
      <c r="P72" s="74"/>
      <c r="Q72" s="29"/>
      <c r="R72" s="29"/>
      <c r="S72" s="29"/>
    </row>
    <row r="73" spans="2:20" ht="15.75" customHeight="1" thickBot="1" x14ac:dyDescent="0.25">
      <c r="B73" s="39"/>
      <c r="C73" s="39"/>
      <c r="D73" s="39"/>
      <c r="E73" s="39"/>
      <c r="F73" s="40"/>
      <c r="G73" s="40"/>
      <c r="H73" s="39"/>
      <c r="I73" s="71" t="s">
        <v>77</v>
      </c>
      <c r="J73" s="72"/>
      <c r="K73" s="72"/>
      <c r="L73" s="73"/>
      <c r="M73" s="73"/>
      <c r="N73" s="73"/>
      <c r="O73" s="73"/>
      <c r="P73" s="74"/>
      <c r="Q73" s="29"/>
      <c r="R73" s="29"/>
      <c r="S73" s="29"/>
    </row>
    <row r="74" spans="2:20" ht="15" customHeight="1" x14ac:dyDescent="0.2">
      <c r="B74" s="139" t="s">
        <v>85</v>
      </c>
      <c r="C74" s="139"/>
      <c r="D74" s="139"/>
      <c r="E74" s="139"/>
      <c r="F74" s="139"/>
      <c r="G74" s="139"/>
      <c r="H74" s="139"/>
      <c r="I74" s="139"/>
      <c r="J74" s="139"/>
      <c r="K74" s="139"/>
      <c r="L74" s="152" t="e">
        <f>AVERAGE(L69:P73)</f>
        <v>#DIV/0!</v>
      </c>
      <c r="M74" s="153"/>
      <c r="N74" s="153"/>
      <c r="O74" s="153"/>
      <c r="P74" s="154"/>
      <c r="Q74" s="29"/>
      <c r="R74" s="29"/>
      <c r="S74" s="29"/>
    </row>
    <row r="75" spans="2:20" ht="15" customHeight="1" x14ac:dyDescent="0.2">
      <c r="B75" s="139" t="s">
        <v>86</v>
      </c>
      <c r="C75" s="139"/>
      <c r="D75" s="139"/>
      <c r="E75" s="139"/>
      <c r="F75" s="139"/>
      <c r="G75" s="139"/>
      <c r="H75" s="139"/>
      <c r="I75" s="139"/>
      <c r="J75" s="139"/>
      <c r="K75" s="139"/>
      <c r="L75" s="149" t="e">
        <f>(L74*N64)</f>
        <v>#DIV/0!</v>
      </c>
      <c r="M75" s="150"/>
      <c r="N75" s="150"/>
      <c r="O75" s="150"/>
      <c r="P75" s="151"/>
      <c r="Q75" s="29"/>
      <c r="R75" s="29"/>
      <c r="S75" s="29"/>
    </row>
    <row r="76" spans="2:20" ht="15" customHeight="1" x14ac:dyDescent="0.2">
      <c r="B76" s="139" t="s">
        <v>87</v>
      </c>
      <c r="C76" s="139"/>
      <c r="D76" s="139"/>
      <c r="E76" s="139"/>
      <c r="F76" s="139"/>
      <c r="G76" s="139"/>
      <c r="H76" s="139"/>
      <c r="I76" s="139"/>
      <c r="J76" s="139"/>
      <c r="K76" s="139"/>
      <c r="L76" s="143" t="e">
        <f>H11-L75</f>
        <v>#DIV/0!</v>
      </c>
      <c r="M76" s="144"/>
      <c r="N76" s="144"/>
      <c r="O76" s="144"/>
      <c r="P76" s="145"/>
      <c r="Q76" s="30"/>
      <c r="R76" s="30"/>
      <c r="S76" s="30"/>
    </row>
    <row r="77" spans="2:20" ht="15.75" customHeight="1" thickBot="1" x14ac:dyDescent="0.25">
      <c r="B77" s="139" t="s">
        <v>2</v>
      </c>
      <c r="C77" s="139"/>
      <c r="D77" s="139"/>
      <c r="E77" s="139"/>
      <c r="F77" s="139"/>
      <c r="G77" s="139"/>
      <c r="H77" s="139"/>
      <c r="I77" s="139"/>
      <c r="J77" s="139"/>
      <c r="K77" s="139"/>
      <c r="L77" s="187">
        <v>0.02</v>
      </c>
      <c r="M77" s="188"/>
      <c r="N77" s="188"/>
      <c r="O77" s="188"/>
      <c r="P77" s="189"/>
    </row>
    <row r="78" spans="2:20" ht="15.75" customHeight="1" thickBot="1" x14ac:dyDescent="0.25">
      <c r="B78" s="139" t="s">
        <v>41</v>
      </c>
      <c r="C78" s="139"/>
      <c r="D78" s="139"/>
      <c r="E78" s="139"/>
      <c r="F78" s="139"/>
      <c r="G78" s="139"/>
      <c r="H78" s="139"/>
      <c r="I78" s="139"/>
      <c r="J78" s="139"/>
      <c r="K78" s="139"/>
      <c r="L78" s="146" t="e">
        <f>IF(AND(L76&lt;L77,L76&gt;-L77),"LULUS / PASS","GAGAL / FAIL")</f>
        <v>#DIV/0!</v>
      </c>
      <c r="M78" s="147"/>
      <c r="N78" s="147"/>
      <c r="O78" s="147"/>
      <c r="P78" s="148"/>
      <c r="Q78" s="5"/>
      <c r="R78" s="5"/>
      <c r="S78" s="5"/>
    </row>
    <row r="79" spans="2:20" ht="15.75" customHeight="1" x14ac:dyDescent="0.2"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6"/>
      <c r="M79" s="36"/>
      <c r="N79" s="36"/>
      <c r="O79" s="36"/>
      <c r="P79" s="36"/>
      <c r="Q79" s="5"/>
      <c r="R79" s="5"/>
      <c r="S79" s="5"/>
    </row>
    <row r="80" spans="2:20" ht="6.75" customHeight="1" x14ac:dyDescent="0.2"/>
    <row r="81" spans="2:22" x14ac:dyDescent="0.2">
      <c r="B81" s="75" t="s">
        <v>64</v>
      </c>
      <c r="C81" s="75"/>
      <c r="I81" s="75" t="s">
        <v>65</v>
      </c>
      <c r="J81" s="75"/>
      <c r="K81" s="75"/>
      <c r="Q81" s="5" t="s">
        <v>66</v>
      </c>
      <c r="R81" s="5"/>
      <c r="S81" s="5"/>
      <c r="T81" s="5"/>
      <c r="U81" s="5"/>
      <c r="V81" s="5"/>
    </row>
    <row r="82" spans="2:22" x14ac:dyDescent="0.2">
      <c r="B82" s="5"/>
      <c r="C82" s="5"/>
      <c r="I82" s="5"/>
      <c r="J82" s="5"/>
      <c r="K82" s="5"/>
      <c r="Q82" s="5"/>
      <c r="R82" s="5"/>
      <c r="S82" s="5"/>
      <c r="U82" s="5"/>
      <c r="V82" s="5"/>
    </row>
    <row r="84" spans="2:22" x14ac:dyDescent="0.2">
      <c r="B84" s="5"/>
      <c r="C84" s="5"/>
      <c r="D84" s="5"/>
      <c r="E84" s="5"/>
      <c r="F84" s="5"/>
      <c r="G84" s="5"/>
      <c r="I84" s="5"/>
      <c r="J84" s="5"/>
      <c r="K84" s="5"/>
      <c r="Q84" s="5"/>
      <c r="R84" s="5"/>
      <c r="S84" s="5"/>
      <c r="U84" s="5"/>
      <c r="V84" s="5"/>
    </row>
    <row r="85" spans="2:22" x14ac:dyDescent="0.2">
      <c r="B85" s="5"/>
      <c r="C85" s="5"/>
      <c r="D85" s="5"/>
      <c r="E85" s="5"/>
      <c r="F85" s="5"/>
      <c r="G85" s="5"/>
      <c r="I85" s="5"/>
      <c r="J85" s="5"/>
      <c r="K85" s="5"/>
      <c r="Q85" s="5"/>
      <c r="R85" s="5"/>
      <c r="S85" s="5"/>
      <c r="U85" s="5"/>
      <c r="V85" s="5"/>
    </row>
    <row r="86" spans="2:22" x14ac:dyDescent="0.2">
      <c r="B86" s="5"/>
      <c r="C86" s="5"/>
      <c r="D86" s="5"/>
      <c r="E86" s="5"/>
      <c r="F86" s="5"/>
      <c r="G86" s="5"/>
      <c r="I86" s="5"/>
      <c r="J86" s="5"/>
      <c r="K86" s="5"/>
      <c r="Q86" s="5"/>
      <c r="R86" s="5"/>
      <c r="S86" s="5"/>
      <c r="U86" s="5"/>
      <c r="V86" s="5"/>
    </row>
    <row r="87" spans="2:22" x14ac:dyDescent="0.2">
      <c r="B87" s="5"/>
      <c r="C87" s="5"/>
      <c r="D87" s="5"/>
      <c r="E87" s="5"/>
      <c r="F87" s="5"/>
      <c r="G87" s="5"/>
      <c r="I87" s="5"/>
      <c r="J87" s="5"/>
      <c r="K87" s="5"/>
      <c r="Q87" s="5"/>
      <c r="R87" s="5"/>
      <c r="S87" s="5"/>
      <c r="U87" s="5"/>
      <c r="V87" s="5"/>
    </row>
    <row r="88" spans="2:22" x14ac:dyDescent="0.2">
      <c r="B88" s="5"/>
      <c r="C88" s="5"/>
      <c r="D88" s="5"/>
      <c r="E88" s="5"/>
      <c r="F88" s="5"/>
      <c r="G88" s="5"/>
      <c r="I88" s="5"/>
      <c r="J88" s="5"/>
      <c r="K88" s="5"/>
      <c r="Q88" s="5"/>
      <c r="R88" s="5"/>
      <c r="S88" s="5"/>
      <c r="U88" s="5"/>
      <c r="V88" s="5"/>
    </row>
    <row r="89" spans="2:22" x14ac:dyDescent="0.2">
      <c r="B89" s="5"/>
      <c r="C89" s="5"/>
      <c r="D89" s="5"/>
      <c r="E89" s="5"/>
      <c r="F89" s="5"/>
      <c r="G89" s="5"/>
      <c r="I89" s="5"/>
      <c r="J89" s="5"/>
      <c r="K89" s="5"/>
      <c r="Q89" s="5"/>
      <c r="R89" s="5"/>
      <c r="S89" s="5"/>
      <c r="U89" s="5"/>
      <c r="V89" s="5"/>
    </row>
    <row r="90" spans="2:22" x14ac:dyDescent="0.2">
      <c r="B90" s="5"/>
      <c r="C90" s="5"/>
      <c r="D90" s="5"/>
      <c r="E90" s="5"/>
      <c r="F90" s="5"/>
      <c r="G90" s="5"/>
      <c r="I90" s="5"/>
      <c r="J90" s="5"/>
      <c r="K90" s="5"/>
      <c r="Q90" s="5"/>
      <c r="R90" s="5"/>
      <c r="S90" s="5"/>
      <c r="U90" s="5"/>
      <c r="V90" s="5"/>
    </row>
    <row r="91" spans="2:22" x14ac:dyDescent="0.2">
      <c r="B91" s="5" t="s">
        <v>67</v>
      </c>
      <c r="C91" s="5"/>
      <c r="D91" s="5"/>
      <c r="E91" s="5"/>
      <c r="F91" s="5"/>
      <c r="G91" s="5"/>
      <c r="I91" s="70" t="s">
        <v>78</v>
      </c>
      <c r="J91" s="70"/>
      <c r="K91" s="70"/>
      <c r="Q91" s="5" t="s">
        <v>67</v>
      </c>
      <c r="R91" s="5"/>
      <c r="S91" s="5"/>
      <c r="U91" s="5"/>
      <c r="V91" s="5"/>
    </row>
  </sheetData>
  <mergeCells count="103">
    <mergeCell ref="I72:K72"/>
    <mergeCell ref="L72:P72"/>
    <mergeCell ref="B78:K78"/>
    <mergeCell ref="I67:P67"/>
    <mergeCell ref="L76:P76"/>
    <mergeCell ref="L77:P77"/>
    <mergeCell ref="L78:P78"/>
    <mergeCell ref="B75:K75"/>
    <mergeCell ref="L75:P75"/>
    <mergeCell ref="B76:K76"/>
    <mergeCell ref="B77:K77"/>
    <mergeCell ref="B74:K74"/>
    <mergeCell ref="L74:P74"/>
    <mergeCell ref="B42:E43"/>
    <mergeCell ref="H42:S43"/>
    <mergeCell ref="B57:T57"/>
    <mergeCell ref="B64:E65"/>
    <mergeCell ref="H45:S46"/>
    <mergeCell ref="B45:E46"/>
    <mergeCell ref="K61:M61"/>
    <mergeCell ref="H61:J61"/>
    <mergeCell ref="H64:I64"/>
    <mergeCell ref="N64:S64"/>
    <mergeCell ref="K64:M64"/>
    <mergeCell ref="H62:J62"/>
    <mergeCell ref="K62:M62"/>
    <mergeCell ref="B61:E61"/>
    <mergeCell ref="B62:E62"/>
    <mergeCell ref="N61:R61"/>
    <mergeCell ref="N62:R62"/>
    <mergeCell ref="B59:D59"/>
    <mergeCell ref="H59:I59"/>
    <mergeCell ref="K59:M59"/>
    <mergeCell ref="N59:R59"/>
    <mergeCell ref="B49:D49"/>
    <mergeCell ref="H49:S49"/>
    <mergeCell ref="B51:E52"/>
    <mergeCell ref="K20:Q20"/>
    <mergeCell ref="B20:E20"/>
    <mergeCell ref="B36:E37"/>
    <mergeCell ref="K37:L37"/>
    <mergeCell ref="B22:E24"/>
    <mergeCell ref="H22:I24"/>
    <mergeCell ref="B26:E27"/>
    <mergeCell ref="H26:I27"/>
    <mergeCell ref="K26:Q27"/>
    <mergeCell ref="K22:Q22"/>
    <mergeCell ref="M23:Q23"/>
    <mergeCell ref="B28:T28"/>
    <mergeCell ref="B30:E30"/>
    <mergeCell ref="B32:E32"/>
    <mergeCell ref="B34:E34"/>
    <mergeCell ref="H34:S34"/>
    <mergeCell ref="H32:R32"/>
    <mergeCell ref="H30:S30"/>
    <mergeCell ref="K23:L24"/>
    <mergeCell ref="H36:I36"/>
    <mergeCell ref="K36:L36"/>
    <mergeCell ref="N36:R36"/>
    <mergeCell ref="J36:J37"/>
    <mergeCell ref="M36:M37"/>
    <mergeCell ref="B16:E17"/>
    <mergeCell ref="A1:T1"/>
    <mergeCell ref="B5:E5"/>
    <mergeCell ref="B9:E9"/>
    <mergeCell ref="B11:E11"/>
    <mergeCell ref="B13:E14"/>
    <mergeCell ref="J14:N14"/>
    <mergeCell ref="J13:N13"/>
    <mergeCell ref="O13:R13"/>
    <mergeCell ref="O14:R14"/>
    <mergeCell ref="H11:R11"/>
    <mergeCell ref="K9:L9"/>
    <mergeCell ref="N9:R9"/>
    <mergeCell ref="K16:L16"/>
    <mergeCell ref="B3:T3"/>
    <mergeCell ref="H5:S5"/>
    <mergeCell ref="H7:I7"/>
    <mergeCell ref="K7:L7"/>
    <mergeCell ref="H51:S52"/>
    <mergeCell ref="B54:E55"/>
    <mergeCell ref="H54:S55"/>
    <mergeCell ref="B18:T18"/>
    <mergeCell ref="I91:K91"/>
    <mergeCell ref="I73:K73"/>
    <mergeCell ref="L73:P73"/>
    <mergeCell ref="I81:K81"/>
    <mergeCell ref="B81:C81"/>
    <mergeCell ref="R67:T67"/>
    <mergeCell ref="L69:P69"/>
    <mergeCell ref="L70:P70"/>
    <mergeCell ref="L71:P71"/>
    <mergeCell ref="I68:K68"/>
    <mergeCell ref="I69:K69"/>
    <mergeCell ref="I70:K70"/>
    <mergeCell ref="I71:K71"/>
    <mergeCell ref="L68:P68"/>
    <mergeCell ref="N37:R37"/>
    <mergeCell ref="B40:E40"/>
    <mergeCell ref="H40:S40"/>
    <mergeCell ref="S36:S37"/>
    <mergeCell ref="H37:I37"/>
    <mergeCell ref="M24:Q24"/>
  </mergeCells>
  <pageMargins left="0.25" right="0.25" top="0.75" bottom="0.75" header="0.3" footer="0.3"/>
  <pageSetup paperSize="9" scale="73" fitToWidth="0" orientation="portrait" r:id="rId1"/>
  <headerFooter scaleWithDoc="0">
    <oddHeader>&amp;LPKKK/008B&amp;R3 JAN 2023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4" name="Check Box 2">
              <controlPr defaultSize="0" autoFill="0" autoLine="0" autoPict="0">
                <anchor moveWithCells="1">
                  <from>
                    <xdr:col>8</xdr:col>
                    <xdr:colOff>571500</xdr:colOff>
                    <xdr:row>5</xdr:row>
                    <xdr:rowOff>19050</xdr:rowOff>
                  </from>
                  <to>
                    <xdr:col>9</xdr:col>
                    <xdr:colOff>209550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8</xdr:col>
                    <xdr:colOff>571500</xdr:colOff>
                    <xdr:row>6</xdr:row>
                    <xdr:rowOff>180975</xdr:rowOff>
                  </from>
                  <to>
                    <xdr:col>10</xdr:col>
                    <xdr:colOff>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6" name="Check Box 5">
              <controlPr defaultSize="0" autoFill="0" autoLine="0" autoPict="0">
                <anchor moveWithCells="1">
                  <from>
                    <xdr:col>11</xdr:col>
                    <xdr:colOff>571500</xdr:colOff>
                    <xdr:row>6</xdr:row>
                    <xdr:rowOff>180975</xdr:rowOff>
                  </from>
                  <to>
                    <xdr:col>12</xdr:col>
                    <xdr:colOff>209550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7" name="Check Box 6">
              <controlPr defaultSize="0" autoFill="0" autoLine="0" autoPict="0">
                <anchor moveWithCells="1">
                  <from>
                    <xdr:col>9</xdr:col>
                    <xdr:colOff>0</xdr:colOff>
                    <xdr:row>14</xdr:row>
                    <xdr:rowOff>9525</xdr:rowOff>
                  </from>
                  <to>
                    <xdr:col>9</xdr:col>
                    <xdr:colOff>219075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8" name="Check Box 7">
              <controlPr defaultSize="0" autoFill="0" autoLine="0" autoPict="0">
                <anchor moveWithCells="1">
                  <from>
                    <xdr:col>11</xdr:col>
                    <xdr:colOff>571500</xdr:colOff>
                    <xdr:row>14</xdr:row>
                    <xdr:rowOff>9525</xdr:rowOff>
                  </from>
                  <to>
                    <xdr:col>12</xdr:col>
                    <xdr:colOff>209550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9" name="Check Box 8">
              <controlPr defaultSize="0" autoFill="0" autoLine="0" autoPict="0">
                <anchor moveWithCells="1">
                  <from>
                    <xdr:col>8</xdr:col>
                    <xdr:colOff>571500</xdr:colOff>
                    <xdr:row>17</xdr:row>
                    <xdr:rowOff>161925</xdr:rowOff>
                  </from>
                  <to>
                    <xdr:col>9</xdr:col>
                    <xdr:colOff>209550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0" name="Check Box 9">
              <controlPr defaultSize="0" autoFill="0" autoLine="0" autoPict="0">
                <anchor moveWithCells="1">
                  <from>
                    <xdr:col>8</xdr:col>
                    <xdr:colOff>571500</xdr:colOff>
                    <xdr:row>20</xdr:row>
                    <xdr:rowOff>19050</xdr:rowOff>
                  </from>
                  <to>
                    <xdr:col>9</xdr:col>
                    <xdr:colOff>209550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1" name="Check Box 10">
              <controlPr defaultSize="0" autoFill="0" autoLine="0" autoPict="0">
                <anchor moveWithCells="1">
                  <from>
                    <xdr:col>8</xdr:col>
                    <xdr:colOff>571500</xdr:colOff>
                    <xdr:row>24</xdr:row>
                    <xdr:rowOff>0</xdr:rowOff>
                  </from>
                  <to>
                    <xdr:col>9</xdr:col>
                    <xdr:colOff>209550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2" name="Check Box 11">
              <controlPr defaultSize="0" autoFill="0" autoLine="0" autoPict="0">
                <anchor moveWithCells="1">
                  <from>
                    <xdr:col>17</xdr:col>
                    <xdr:colOff>619125</xdr:colOff>
                    <xdr:row>17</xdr:row>
                    <xdr:rowOff>171450</xdr:rowOff>
                  </from>
                  <to>
                    <xdr:col>19</xdr:col>
                    <xdr:colOff>9525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3" name="Check Box 12">
              <controlPr defaultSize="0" autoFill="0" autoLine="0" autoPict="0">
                <anchor moveWithCells="1">
                  <from>
                    <xdr:col>17</xdr:col>
                    <xdr:colOff>619125</xdr:colOff>
                    <xdr:row>20</xdr:row>
                    <xdr:rowOff>19050</xdr:rowOff>
                  </from>
                  <to>
                    <xdr:col>19</xdr:col>
                    <xdr:colOff>9525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4" name="Check Box 13">
              <controlPr defaultSize="0" autoFill="0" autoLine="0" autoPict="0">
                <anchor moveWithCells="1">
                  <from>
                    <xdr:col>17</xdr:col>
                    <xdr:colOff>628650</xdr:colOff>
                    <xdr:row>21</xdr:row>
                    <xdr:rowOff>161925</xdr:rowOff>
                  </from>
                  <to>
                    <xdr:col>19</xdr:col>
                    <xdr:colOff>19050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5" name="Check Box 14">
              <controlPr defaultSize="0" autoFill="0" autoLine="0" autoPict="0">
                <anchor moveWithCells="1">
                  <from>
                    <xdr:col>17</xdr:col>
                    <xdr:colOff>628650</xdr:colOff>
                    <xdr:row>22</xdr:row>
                    <xdr:rowOff>142875</xdr:rowOff>
                  </from>
                  <to>
                    <xdr:col>19</xdr:col>
                    <xdr:colOff>19050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6" name="Check Box 15">
              <controlPr defaultSize="0" autoFill="0" autoLine="0" autoPict="0">
                <anchor moveWithCells="1">
                  <from>
                    <xdr:col>17</xdr:col>
                    <xdr:colOff>628650</xdr:colOff>
                    <xdr:row>24</xdr:row>
                    <xdr:rowOff>0</xdr:rowOff>
                  </from>
                  <to>
                    <xdr:col>19</xdr:col>
                    <xdr:colOff>19050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7" name="Check Box 16">
              <controlPr defaultSize="0" autoFill="0" autoLine="0" autoPict="0">
                <anchor moveWithCells="1">
                  <from>
                    <xdr:col>11</xdr:col>
                    <xdr:colOff>571500</xdr:colOff>
                    <xdr:row>5</xdr:row>
                    <xdr:rowOff>19050</xdr:rowOff>
                  </from>
                  <to>
                    <xdr:col>12</xdr:col>
                    <xdr:colOff>180975</xdr:colOff>
                    <xdr:row>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C23" sqref="C23:H24"/>
    </sheetView>
  </sheetViews>
  <sheetFormatPr defaultRowHeight="15" x14ac:dyDescent="0.25"/>
  <cols>
    <col min="1" max="1" width="9.140625" customWidth="1"/>
    <col min="2" max="2" width="25.140625" customWidth="1"/>
    <col min="3" max="3" width="17.7109375" customWidth="1"/>
    <col min="4" max="4" width="18.7109375" customWidth="1"/>
    <col min="6" max="6" width="3.5703125" customWidth="1"/>
    <col min="7" max="7" width="4.140625" customWidth="1"/>
    <col min="8" max="8" width="9.140625" customWidth="1"/>
  </cols>
  <sheetData>
    <row r="1" spans="1:12" ht="15.75" customHeight="1" x14ac:dyDescent="0.25">
      <c r="A1" s="17" t="s">
        <v>48</v>
      </c>
    </row>
    <row r="2" spans="1:12" ht="15.75" x14ac:dyDescent="0.25">
      <c r="A2" s="18" t="s">
        <v>49</v>
      </c>
      <c r="B2" s="18"/>
      <c r="C2" s="18"/>
      <c r="D2" s="18"/>
      <c r="E2" s="18"/>
      <c r="F2" s="19"/>
      <c r="G2" s="19"/>
      <c r="H2" s="19"/>
      <c r="I2" s="19"/>
    </row>
    <row r="3" spans="1:12" ht="15.75" x14ac:dyDescent="0.25">
      <c r="A3" s="166" t="s">
        <v>50</v>
      </c>
      <c r="B3" s="166"/>
      <c r="C3" s="167">
        <v>181248258</v>
      </c>
      <c r="D3" s="167"/>
      <c r="E3" s="167"/>
      <c r="F3" s="167"/>
      <c r="G3" s="167"/>
      <c r="H3" s="167"/>
      <c r="I3" s="19"/>
    </row>
    <row r="4" spans="1:12" ht="15.75" x14ac:dyDescent="0.25">
      <c r="A4" s="166" t="s">
        <v>51</v>
      </c>
      <c r="B4" s="166"/>
      <c r="C4" s="42" t="s">
        <v>89</v>
      </c>
      <c r="D4" s="166" t="s">
        <v>52</v>
      </c>
      <c r="E4" s="166"/>
      <c r="F4" s="168">
        <v>45055</v>
      </c>
      <c r="G4" s="169"/>
      <c r="H4" s="169"/>
      <c r="I4" s="19"/>
    </row>
    <row r="6" spans="1:12" ht="45" x14ac:dyDescent="0.25">
      <c r="B6" s="41" t="s">
        <v>53</v>
      </c>
      <c r="C6" s="41" t="s">
        <v>54</v>
      </c>
      <c r="D6" s="20" t="s">
        <v>55</v>
      </c>
      <c r="E6" s="21"/>
      <c r="F6" s="43"/>
      <c r="J6" s="43"/>
      <c r="K6" s="43"/>
      <c r="L6" s="43"/>
    </row>
    <row r="7" spans="1:12" x14ac:dyDescent="0.25">
      <c r="B7" s="44">
        <v>20.2</v>
      </c>
      <c r="C7" s="22">
        <v>-0.2</v>
      </c>
      <c r="D7" s="23">
        <f>B7+C7</f>
        <v>20</v>
      </c>
      <c r="E7" s="45"/>
      <c r="F7" s="45"/>
      <c r="J7" s="45"/>
      <c r="K7" s="45"/>
      <c r="L7" s="45"/>
    </row>
    <row r="8" spans="1:12" x14ac:dyDescent="0.25">
      <c r="B8" s="44">
        <v>25.3</v>
      </c>
      <c r="C8" s="22">
        <v>-0.3</v>
      </c>
      <c r="D8" s="23">
        <f t="shared" ref="D8:D9" si="0">B8+C8</f>
        <v>25</v>
      </c>
      <c r="E8" s="45"/>
      <c r="F8" s="45"/>
      <c r="J8" s="45"/>
      <c r="K8" s="45"/>
      <c r="L8" s="45"/>
    </row>
    <row r="9" spans="1:12" x14ac:dyDescent="0.25">
      <c r="B9" s="44">
        <v>30.4</v>
      </c>
      <c r="C9" s="22">
        <v>-0.4</v>
      </c>
      <c r="D9" s="23">
        <f t="shared" si="0"/>
        <v>30</v>
      </c>
      <c r="E9" s="45"/>
      <c r="F9" s="45"/>
      <c r="J9" s="45"/>
      <c r="K9" s="45"/>
      <c r="L9" s="45"/>
    </row>
    <row r="10" spans="1:12" ht="39" customHeight="1" x14ac:dyDescent="0.25"/>
    <row r="19" spans="1:8" ht="131.25" customHeight="1" x14ac:dyDescent="0.25"/>
    <row r="20" spans="1:8" x14ac:dyDescent="0.25">
      <c r="A20" s="15" t="s">
        <v>56</v>
      </c>
    </row>
    <row r="21" spans="1:8" x14ac:dyDescent="0.25">
      <c r="A21" s="155" t="s">
        <v>57</v>
      </c>
      <c r="B21" s="155"/>
      <c r="C21" s="24" t="s">
        <v>58</v>
      </c>
      <c r="D21" s="46">
        <v>0.98040000000000005</v>
      </c>
      <c r="E21" s="25" t="s">
        <v>59</v>
      </c>
      <c r="F21" s="170">
        <v>0.1961</v>
      </c>
      <c r="G21" s="170"/>
      <c r="H21" s="171"/>
    </row>
    <row r="22" spans="1:8" ht="15" customHeight="1" x14ac:dyDescent="0.25">
      <c r="A22" s="155"/>
      <c r="B22" s="155"/>
      <c r="C22" s="172" t="s">
        <v>60</v>
      </c>
      <c r="D22" s="173"/>
      <c r="E22" s="173"/>
      <c r="F22" s="173"/>
      <c r="G22" s="173"/>
      <c r="H22" s="174"/>
    </row>
    <row r="23" spans="1:8" x14ac:dyDescent="0.25">
      <c r="A23" s="155" t="s">
        <v>61</v>
      </c>
      <c r="B23" s="155"/>
      <c r="C23" s="156"/>
      <c r="D23" s="157"/>
      <c r="E23" s="157"/>
      <c r="F23" s="157"/>
      <c r="G23" s="157"/>
      <c r="H23" s="158"/>
    </row>
    <row r="24" spans="1:8" x14ac:dyDescent="0.25">
      <c r="A24" s="155"/>
      <c r="B24" s="155"/>
      <c r="C24" s="159"/>
      <c r="D24" s="160"/>
      <c r="E24" s="160"/>
      <c r="F24" s="160"/>
      <c r="G24" s="160"/>
      <c r="H24" s="161"/>
    </row>
    <row r="25" spans="1:8" x14ac:dyDescent="0.25">
      <c r="A25" s="162" t="s">
        <v>55</v>
      </c>
      <c r="B25" s="162"/>
      <c r="C25" s="163">
        <f>(C23*D21)+F21</f>
        <v>0.1961</v>
      </c>
      <c r="D25" s="164"/>
      <c r="E25" s="164"/>
      <c r="F25" s="164"/>
      <c r="G25" s="164"/>
      <c r="H25" s="165"/>
    </row>
    <row r="26" spans="1:8" ht="32.25" customHeight="1" x14ac:dyDescent="0.25"/>
  </sheetData>
  <mergeCells count="12">
    <mergeCell ref="A23:B24"/>
    <mergeCell ref="C23:H24"/>
    <mergeCell ref="A25:B25"/>
    <mergeCell ref="C25:H25"/>
    <mergeCell ref="A3:B3"/>
    <mergeCell ref="C3:H3"/>
    <mergeCell ref="A4:B4"/>
    <mergeCell ref="D4:E4"/>
    <mergeCell ref="F4:H4"/>
    <mergeCell ref="A21:B22"/>
    <mergeCell ref="F21:H21"/>
    <mergeCell ref="C22:H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opLeftCell="A10" workbookViewId="0">
      <selection activeCell="J26" sqref="J26"/>
    </sheetView>
  </sheetViews>
  <sheetFormatPr defaultRowHeight="15" x14ac:dyDescent="0.25"/>
  <cols>
    <col min="1" max="1" width="10.5703125" customWidth="1"/>
    <col min="2" max="2" width="23.28515625" customWidth="1"/>
    <col min="3" max="3" width="17.7109375" customWidth="1"/>
    <col min="4" max="4" width="18.7109375" customWidth="1"/>
    <col min="6" max="6" width="3.5703125" customWidth="1"/>
    <col min="7" max="7" width="4.140625" customWidth="1"/>
    <col min="8" max="8" width="9.140625" customWidth="1"/>
  </cols>
  <sheetData>
    <row r="1" spans="1:12" ht="15.75" customHeight="1" x14ac:dyDescent="0.25">
      <c r="A1" s="17" t="s">
        <v>48</v>
      </c>
    </row>
    <row r="2" spans="1:12" ht="15.75" x14ac:dyDescent="0.25">
      <c r="A2" s="18" t="s">
        <v>49</v>
      </c>
      <c r="B2" s="18"/>
      <c r="C2" s="18"/>
      <c r="D2" s="18"/>
      <c r="E2" s="18"/>
      <c r="F2" s="19"/>
      <c r="G2" s="19"/>
      <c r="H2" s="19"/>
      <c r="I2" s="19"/>
    </row>
    <row r="3" spans="1:12" ht="15.75" x14ac:dyDescent="0.25">
      <c r="A3" s="166" t="s">
        <v>50</v>
      </c>
      <c r="B3" s="166"/>
      <c r="C3" s="167">
        <v>111668831</v>
      </c>
      <c r="D3" s="167"/>
      <c r="E3" s="167"/>
      <c r="F3" s="167"/>
      <c r="G3" s="167"/>
      <c r="H3" s="167"/>
      <c r="I3" s="19"/>
    </row>
    <row r="4" spans="1:12" ht="15.75" x14ac:dyDescent="0.25">
      <c r="A4" s="166" t="s">
        <v>51</v>
      </c>
      <c r="B4" s="166"/>
      <c r="C4" s="42" t="s">
        <v>90</v>
      </c>
      <c r="D4" s="166" t="s">
        <v>52</v>
      </c>
      <c r="E4" s="166"/>
      <c r="F4" s="168">
        <v>45542</v>
      </c>
      <c r="G4" s="169"/>
      <c r="H4" s="169"/>
      <c r="I4" s="19"/>
    </row>
    <row r="6" spans="1:12" ht="30" customHeight="1" x14ac:dyDescent="0.25">
      <c r="B6" s="41" t="s">
        <v>53</v>
      </c>
      <c r="C6" s="41" t="s">
        <v>54</v>
      </c>
      <c r="D6" s="20" t="s">
        <v>55</v>
      </c>
      <c r="E6" s="21"/>
      <c r="F6" s="43"/>
      <c r="J6" s="43"/>
      <c r="K6" s="43"/>
      <c r="L6" s="43"/>
    </row>
    <row r="7" spans="1:12" x14ac:dyDescent="0.25">
      <c r="B7" s="44">
        <v>20.2</v>
      </c>
      <c r="C7" s="22">
        <v>-0.2</v>
      </c>
      <c r="D7" s="23">
        <f>B7+C7</f>
        <v>20</v>
      </c>
      <c r="E7" s="45"/>
      <c r="F7" s="45"/>
      <c r="J7" s="45"/>
      <c r="K7" s="45"/>
      <c r="L7" s="45"/>
    </row>
    <row r="8" spans="1:12" x14ac:dyDescent="0.25">
      <c r="B8" s="44">
        <v>25.3</v>
      </c>
      <c r="C8" s="22">
        <v>-0.3</v>
      </c>
      <c r="D8" s="23">
        <f t="shared" ref="D8:D9" si="0">B8+C8</f>
        <v>25</v>
      </c>
      <c r="E8" s="45"/>
      <c r="F8" s="45"/>
      <c r="J8" s="45"/>
      <c r="K8" s="45"/>
      <c r="L8" s="45"/>
    </row>
    <row r="9" spans="1:12" x14ac:dyDescent="0.25">
      <c r="B9" s="44">
        <v>30.6</v>
      </c>
      <c r="C9" s="22">
        <v>-0.6</v>
      </c>
      <c r="D9" s="23">
        <f t="shared" si="0"/>
        <v>30</v>
      </c>
      <c r="E9" s="45"/>
      <c r="F9" s="45"/>
      <c r="J9" s="45"/>
      <c r="K9" s="45"/>
      <c r="L9" s="45"/>
    </row>
    <row r="10" spans="1:12" ht="39" customHeight="1" x14ac:dyDescent="0.25">
      <c r="B10" s="47"/>
      <c r="C10" s="48"/>
      <c r="D10" s="49"/>
      <c r="E10" s="45"/>
      <c r="F10" s="45"/>
      <c r="J10" s="45"/>
      <c r="K10" s="45"/>
      <c r="L10" s="45"/>
    </row>
    <row r="11" spans="1:12" x14ac:dyDescent="0.25">
      <c r="B11" s="47"/>
      <c r="C11" s="48"/>
      <c r="D11" s="49"/>
      <c r="E11" s="45"/>
      <c r="F11" s="45"/>
      <c r="J11" s="45"/>
      <c r="K11" s="45"/>
      <c r="L11" s="45"/>
    </row>
    <row r="19" spans="1:8" ht="131.25" customHeight="1" x14ac:dyDescent="0.25"/>
    <row r="21" spans="1:8" ht="15" customHeight="1" x14ac:dyDescent="0.25"/>
    <row r="22" spans="1:8" x14ac:dyDescent="0.25">
      <c r="A22" s="15" t="s">
        <v>56</v>
      </c>
    </row>
    <row r="23" spans="1:8" ht="15" customHeight="1" x14ac:dyDescent="0.25">
      <c r="A23" s="175" t="s">
        <v>57</v>
      </c>
      <c r="B23" s="176"/>
      <c r="C23" s="24" t="s">
        <v>58</v>
      </c>
      <c r="D23" s="46">
        <v>0.96140000000000003</v>
      </c>
      <c r="E23" s="25" t="s">
        <v>59</v>
      </c>
      <c r="F23" s="170">
        <v>0.61199999999999999</v>
      </c>
      <c r="G23" s="170"/>
      <c r="H23" s="171"/>
    </row>
    <row r="24" spans="1:8" ht="15" customHeight="1" x14ac:dyDescent="0.25">
      <c r="A24" s="177"/>
      <c r="B24" s="178"/>
      <c r="C24" s="184" t="s">
        <v>60</v>
      </c>
      <c r="D24" s="185"/>
      <c r="E24" s="185"/>
      <c r="F24" s="185"/>
      <c r="G24" s="185"/>
      <c r="H24" s="186"/>
    </row>
    <row r="25" spans="1:8" ht="15" customHeight="1" x14ac:dyDescent="0.25">
      <c r="A25" s="175" t="s">
        <v>61</v>
      </c>
      <c r="B25" s="176"/>
      <c r="C25" s="156"/>
      <c r="D25" s="157"/>
      <c r="E25" s="157"/>
      <c r="F25" s="157"/>
      <c r="G25" s="157"/>
      <c r="H25" s="158"/>
    </row>
    <row r="26" spans="1:8" ht="32.25" customHeight="1" x14ac:dyDescent="0.25">
      <c r="A26" s="177"/>
      <c r="B26" s="178"/>
      <c r="C26" s="159"/>
      <c r="D26" s="160"/>
      <c r="E26" s="160"/>
      <c r="F26" s="160"/>
      <c r="G26" s="160"/>
      <c r="H26" s="161"/>
    </row>
    <row r="27" spans="1:8" x14ac:dyDescent="0.25">
      <c r="A27" s="179" t="s">
        <v>55</v>
      </c>
      <c r="B27" s="180"/>
      <c r="C27" s="181">
        <f>(C25*D23)+F23</f>
        <v>0.61199999999999999</v>
      </c>
      <c r="D27" s="182"/>
      <c r="E27" s="182"/>
      <c r="F27" s="182"/>
      <c r="G27" s="182"/>
      <c r="H27" s="183"/>
    </row>
  </sheetData>
  <mergeCells count="12">
    <mergeCell ref="A25:B26"/>
    <mergeCell ref="C25:H26"/>
    <mergeCell ref="A27:B27"/>
    <mergeCell ref="C27:H27"/>
    <mergeCell ref="A3:B3"/>
    <mergeCell ref="C3:H3"/>
    <mergeCell ref="A4:B4"/>
    <mergeCell ref="D4:E4"/>
    <mergeCell ref="F4:H4"/>
    <mergeCell ref="A23:B24"/>
    <mergeCell ref="F23:H23"/>
    <mergeCell ref="C24:H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6"/>
  <sheetViews>
    <sheetView workbookViewId="0">
      <selection activeCell="F23" sqref="F23"/>
    </sheetView>
  </sheetViews>
  <sheetFormatPr defaultRowHeight="15" x14ac:dyDescent="0.25"/>
  <cols>
    <col min="1" max="1" width="13.7109375" style="16" customWidth="1"/>
  </cols>
  <sheetData>
    <row r="1" spans="1:2" ht="27" x14ac:dyDescent="0.25">
      <c r="A1" s="26" t="s">
        <v>62</v>
      </c>
      <c r="B1" s="26" t="s">
        <v>63</v>
      </c>
    </row>
    <row r="2" spans="1:2" x14ac:dyDescent="0.25">
      <c r="A2" s="50">
        <v>15.1</v>
      </c>
      <c r="B2" s="27">
        <v>1.002</v>
      </c>
    </row>
    <row r="3" spans="1:2" x14ac:dyDescent="0.25">
      <c r="A3" s="50">
        <v>15.2</v>
      </c>
      <c r="B3" s="27">
        <v>1.002</v>
      </c>
    </row>
    <row r="4" spans="1:2" x14ac:dyDescent="0.25">
      <c r="A4" s="50">
        <v>15.3</v>
      </c>
      <c r="B4" s="27">
        <v>1.002</v>
      </c>
    </row>
    <row r="5" spans="1:2" x14ac:dyDescent="0.25">
      <c r="A5" s="50">
        <v>15.4</v>
      </c>
      <c r="B5" s="27">
        <v>1.002</v>
      </c>
    </row>
    <row r="6" spans="1:2" x14ac:dyDescent="0.25">
      <c r="A6" s="50">
        <v>15.5</v>
      </c>
      <c r="B6" s="27">
        <v>1.002</v>
      </c>
    </row>
    <row r="7" spans="1:2" x14ac:dyDescent="0.25">
      <c r="A7" s="50">
        <v>15.6</v>
      </c>
      <c r="B7" s="27">
        <v>1.002</v>
      </c>
    </row>
    <row r="8" spans="1:2" x14ac:dyDescent="0.25">
      <c r="A8" s="50">
        <v>15.7</v>
      </c>
      <c r="B8" s="27">
        <v>1.002</v>
      </c>
    </row>
    <row r="9" spans="1:2" x14ac:dyDescent="0.25">
      <c r="A9" s="50">
        <v>15.8</v>
      </c>
      <c r="B9" s="27">
        <v>1.0021</v>
      </c>
    </row>
    <row r="10" spans="1:2" x14ac:dyDescent="0.25">
      <c r="A10" s="50">
        <v>15.9</v>
      </c>
      <c r="B10" s="27">
        <v>1.0021</v>
      </c>
    </row>
    <row r="11" spans="1:2" x14ac:dyDescent="0.25">
      <c r="A11" s="50">
        <v>16</v>
      </c>
      <c r="B11" s="27">
        <v>1.0021</v>
      </c>
    </row>
    <row r="12" spans="1:2" x14ac:dyDescent="0.25">
      <c r="A12" s="50">
        <v>16.100000000000001</v>
      </c>
      <c r="B12" s="27">
        <v>1.0021</v>
      </c>
    </row>
    <row r="13" spans="1:2" x14ac:dyDescent="0.25">
      <c r="A13" s="50">
        <v>16.2</v>
      </c>
      <c r="B13" s="27">
        <v>1.0021</v>
      </c>
    </row>
    <row r="14" spans="1:2" x14ac:dyDescent="0.25">
      <c r="A14" s="50">
        <v>16.3</v>
      </c>
      <c r="B14" s="27">
        <v>1.0022</v>
      </c>
    </row>
    <row r="15" spans="1:2" x14ac:dyDescent="0.25">
      <c r="A15" s="50">
        <v>16.399999999999999</v>
      </c>
      <c r="B15" s="27">
        <v>1.0022</v>
      </c>
    </row>
    <row r="16" spans="1:2" x14ac:dyDescent="0.25">
      <c r="A16" s="50">
        <v>16.5</v>
      </c>
      <c r="B16" s="27">
        <v>1.0022</v>
      </c>
    </row>
    <row r="17" spans="1:2" x14ac:dyDescent="0.25">
      <c r="A17" s="50">
        <v>16.600000000000001</v>
      </c>
      <c r="B17" s="27">
        <v>1.0022</v>
      </c>
    </row>
    <row r="18" spans="1:2" x14ac:dyDescent="0.25">
      <c r="A18" s="50">
        <v>16.7</v>
      </c>
      <c r="B18" s="27">
        <v>1.0022</v>
      </c>
    </row>
    <row r="19" spans="1:2" x14ac:dyDescent="0.25">
      <c r="A19" s="50">
        <v>16.8</v>
      </c>
      <c r="B19" s="27">
        <v>1.0023</v>
      </c>
    </row>
    <row r="20" spans="1:2" x14ac:dyDescent="0.25">
      <c r="A20" s="50">
        <v>16.899999999999999</v>
      </c>
      <c r="B20" s="27">
        <v>1.0023</v>
      </c>
    </row>
    <row r="21" spans="1:2" x14ac:dyDescent="0.25">
      <c r="A21" s="50">
        <v>17</v>
      </c>
      <c r="B21" s="27">
        <v>1.0023</v>
      </c>
    </row>
    <row r="22" spans="1:2" x14ac:dyDescent="0.25">
      <c r="A22" s="50">
        <v>17.100000000000001</v>
      </c>
      <c r="B22" s="27">
        <v>1.0023</v>
      </c>
    </row>
    <row r="23" spans="1:2" x14ac:dyDescent="0.25">
      <c r="A23" s="50">
        <v>17.2</v>
      </c>
      <c r="B23" s="27">
        <v>1.0023</v>
      </c>
    </row>
    <row r="24" spans="1:2" x14ac:dyDescent="0.25">
      <c r="A24" s="50">
        <v>17.3</v>
      </c>
      <c r="B24" s="27">
        <v>1.0024</v>
      </c>
    </row>
    <row r="25" spans="1:2" x14ac:dyDescent="0.25">
      <c r="A25" s="50">
        <v>17.399999999999999</v>
      </c>
      <c r="B25" s="27">
        <v>1.0024</v>
      </c>
    </row>
    <row r="26" spans="1:2" x14ac:dyDescent="0.25">
      <c r="A26" s="50">
        <v>17.5</v>
      </c>
      <c r="B26" s="27">
        <v>1.0024</v>
      </c>
    </row>
    <row r="27" spans="1:2" x14ac:dyDescent="0.25">
      <c r="A27" s="50">
        <v>17.600000000000001</v>
      </c>
      <c r="B27" s="27">
        <v>1.0024</v>
      </c>
    </row>
    <row r="28" spans="1:2" x14ac:dyDescent="0.25">
      <c r="A28" s="50">
        <v>17.7</v>
      </c>
      <c r="B28" s="27">
        <v>1.0024</v>
      </c>
    </row>
    <row r="29" spans="1:2" x14ac:dyDescent="0.25">
      <c r="A29" s="50">
        <v>17.8</v>
      </c>
      <c r="B29" s="27">
        <v>1.0024999999999999</v>
      </c>
    </row>
    <row r="30" spans="1:2" x14ac:dyDescent="0.25">
      <c r="A30" s="50">
        <v>17.899999999999999</v>
      </c>
      <c r="B30" s="27">
        <v>1.0024999999999999</v>
      </c>
    </row>
    <row r="31" spans="1:2" x14ac:dyDescent="0.25">
      <c r="A31" s="50">
        <v>18</v>
      </c>
      <c r="B31" s="27">
        <v>1.0024999999999999</v>
      </c>
    </row>
    <row r="32" spans="1:2" x14ac:dyDescent="0.25">
      <c r="A32" s="50">
        <v>18.100000000000001</v>
      </c>
      <c r="B32" s="27">
        <v>1.0024999999999999</v>
      </c>
    </row>
    <row r="33" spans="1:2" x14ac:dyDescent="0.25">
      <c r="A33" s="50">
        <v>18.2</v>
      </c>
      <c r="B33" s="27">
        <v>1.0024999999999999</v>
      </c>
    </row>
    <row r="34" spans="1:2" x14ac:dyDescent="0.25">
      <c r="A34" s="50">
        <v>18.3</v>
      </c>
      <c r="B34" s="27">
        <v>1.0025999999999999</v>
      </c>
    </row>
    <row r="35" spans="1:2" x14ac:dyDescent="0.25">
      <c r="A35" s="50">
        <v>18.399999999999999</v>
      </c>
      <c r="B35" s="27">
        <v>1.0025999999999999</v>
      </c>
    </row>
    <row r="36" spans="1:2" x14ac:dyDescent="0.25">
      <c r="A36" s="50">
        <v>18.5</v>
      </c>
      <c r="B36" s="27">
        <v>1.0025999999999999</v>
      </c>
    </row>
    <row r="37" spans="1:2" x14ac:dyDescent="0.25">
      <c r="A37" s="50">
        <v>18.600000000000001</v>
      </c>
      <c r="B37" s="27">
        <v>1.0025999999999999</v>
      </c>
    </row>
    <row r="38" spans="1:2" x14ac:dyDescent="0.25">
      <c r="A38" s="50">
        <v>18.7</v>
      </c>
      <c r="B38" s="27">
        <v>1.0025999999999999</v>
      </c>
    </row>
    <row r="39" spans="1:2" x14ac:dyDescent="0.25">
      <c r="A39" s="50">
        <v>18.8</v>
      </c>
      <c r="B39" s="27">
        <v>1.0026999999999999</v>
      </c>
    </row>
    <row r="40" spans="1:2" x14ac:dyDescent="0.25">
      <c r="A40" s="50">
        <v>18.899999999999999</v>
      </c>
      <c r="B40" s="27">
        <v>1.0026999999999999</v>
      </c>
    </row>
    <row r="41" spans="1:2" x14ac:dyDescent="0.25">
      <c r="A41" s="50">
        <v>19</v>
      </c>
      <c r="B41" s="27">
        <v>1.0026999999999999</v>
      </c>
    </row>
    <row r="42" spans="1:2" x14ac:dyDescent="0.25">
      <c r="A42" s="50">
        <v>19.100000000000001</v>
      </c>
      <c r="B42" s="27">
        <v>1.0026999999999999</v>
      </c>
    </row>
    <row r="43" spans="1:2" x14ac:dyDescent="0.25">
      <c r="A43" s="50">
        <v>19.2</v>
      </c>
      <c r="B43" s="27">
        <v>1.0026999999999999</v>
      </c>
    </row>
    <row r="44" spans="1:2" x14ac:dyDescent="0.25">
      <c r="A44" s="50">
        <v>19.3</v>
      </c>
      <c r="B44" s="27">
        <v>1.0027999999999999</v>
      </c>
    </row>
    <row r="45" spans="1:2" x14ac:dyDescent="0.25">
      <c r="A45" s="50">
        <v>19.399999999999999</v>
      </c>
      <c r="B45" s="27">
        <v>1.0027999999999999</v>
      </c>
    </row>
    <row r="46" spans="1:2" x14ac:dyDescent="0.25">
      <c r="A46" s="50">
        <v>19.5</v>
      </c>
      <c r="B46" s="27">
        <v>1.0027999999999999</v>
      </c>
    </row>
    <row r="47" spans="1:2" x14ac:dyDescent="0.25">
      <c r="A47" s="50">
        <v>19.600000000000001</v>
      </c>
      <c r="B47" s="27">
        <v>1.0027999999999999</v>
      </c>
    </row>
    <row r="48" spans="1:2" x14ac:dyDescent="0.25">
      <c r="A48" s="50">
        <v>19.7</v>
      </c>
      <c r="B48" s="27">
        <v>1.0027999999999999</v>
      </c>
    </row>
    <row r="49" spans="1:2" x14ac:dyDescent="0.25">
      <c r="A49" s="50">
        <v>19.8</v>
      </c>
      <c r="B49" s="27">
        <v>1.0028999999999999</v>
      </c>
    </row>
    <row r="50" spans="1:2" x14ac:dyDescent="0.25">
      <c r="A50" s="50">
        <v>19.899999999999999</v>
      </c>
      <c r="B50" s="27">
        <v>1.0028999999999999</v>
      </c>
    </row>
    <row r="51" spans="1:2" x14ac:dyDescent="0.25">
      <c r="A51" s="50">
        <v>20</v>
      </c>
      <c r="B51" s="27">
        <v>1.0028999999999999</v>
      </c>
    </row>
    <row r="52" spans="1:2" x14ac:dyDescent="0.25">
      <c r="A52" s="50">
        <v>20.100000000000001</v>
      </c>
      <c r="B52" s="27">
        <v>1.0028999999999999</v>
      </c>
    </row>
    <row r="53" spans="1:2" x14ac:dyDescent="0.25">
      <c r="A53" s="50">
        <v>20.2</v>
      </c>
      <c r="B53" s="27">
        <v>1.0028999999999999</v>
      </c>
    </row>
    <row r="54" spans="1:2" x14ac:dyDescent="0.25">
      <c r="A54" s="50">
        <v>20.3</v>
      </c>
      <c r="B54" s="27">
        <v>1.0029999999999999</v>
      </c>
    </row>
    <row r="55" spans="1:2" x14ac:dyDescent="0.25">
      <c r="A55" s="50">
        <v>20.399999999999999</v>
      </c>
      <c r="B55" s="27">
        <v>1.0029999999999999</v>
      </c>
    </row>
    <row r="56" spans="1:2" x14ac:dyDescent="0.25">
      <c r="A56" s="50">
        <v>20.5</v>
      </c>
      <c r="B56" s="27">
        <v>1.0029999999999999</v>
      </c>
    </row>
    <row r="57" spans="1:2" x14ac:dyDescent="0.25">
      <c r="A57" s="50">
        <v>20.6</v>
      </c>
      <c r="B57" s="27">
        <v>1.0029999999999999</v>
      </c>
    </row>
    <row r="58" spans="1:2" x14ac:dyDescent="0.25">
      <c r="A58" s="50">
        <v>20.7</v>
      </c>
      <c r="B58" s="27">
        <v>1.0029999999999999</v>
      </c>
    </row>
    <row r="59" spans="1:2" x14ac:dyDescent="0.25">
      <c r="A59" s="50">
        <v>20.8</v>
      </c>
      <c r="B59" s="27">
        <v>1.0031000000000001</v>
      </c>
    </row>
    <row r="60" spans="1:2" x14ac:dyDescent="0.25">
      <c r="A60" s="50">
        <v>20.9</v>
      </c>
      <c r="B60" s="27">
        <v>1.0031000000000001</v>
      </c>
    </row>
    <row r="61" spans="1:2" x14ac:dyDescent="0.25">
      <c r="A61" s="50">
        <v>21</v>
      </c>
      <c r="B61" s="27">
        <v>1.0031000000000001</v>
      </c>
    </row>
    <row r="62" spans="1:2" x14ac:dyDescent="0.25">
      <c r="A62" s="50">
        <v>21.1</v>
      </c>
      <c r="B62" s="27">
        <v>1.0031000000000001</v>
      </c>
    </row>
    <row r="63" spans="1:2" x14ac:dyDescent="0.25">
      <c r="A63" s="50">
        <v>21.2</v>
      </c>
      <c r="B63" s="27">
        <v>1.0031000000000001</v>
      </c>
    </row>
    <row r="64" spans="1:2" x14ac:dyDescent="0.25">
      <c r="A64" s="50">
        <v>21.3</v>
      </c>
      <c r="B64" s="27">
        <v>1.0032000000000001</v>
      </c>
    </row>
    <row r="65" spans="1:2" x14ac:dyDescent="0.25">
      <c r="A65" s="50">
        <v>21.4</v>
      </c>
      <c r="B65" s="27">
        <v>1.0032000000000001</v>
      </c>
    </row>
    <row r="66" spans="1:2" x14ac:dyDescent="0.25">
      <c r="A66" s="50">
        <v>21.5</v>
      </c>
      <c r="B66" s="27">
        <v>1.0032000000000001</v>
      </c>
    </row>
    <row r="67" spans="1:2" x14ac:dyDescent="0.25">
      <c r="A67" s="50">
        <v>21.6</v>
      </c>
      <c r="B67" s="27">
        <v>1.0032000000000001</v>
      </c>
    </row>
    <row r="68" spans="1:2" x14ac:dyDescent="0.25">
      <c r="A68" s="50">
        <v>21.7</v>
      </c>
      <c r="B68" s="27">
        <v>1.0032000000000001</v>
      </c>
    </row>
    <row r="69" spans="1:2" x14ac:dyDescent="0.25">
      <c r="A69" s="50">
        <v>21.8</v>
      </c>
      <c r="B69" s="27">
        <v>1.0033000000000001</v>
      </c>
    </row>
    <row r="70" spans="1:2" x14ac:dyDescent="0.25">
      <c r="A70" s="50">
        <v>21.9</v>
      </c>
      <c r="B70" s="27">
        <v>1.0033000000000001</v>
      </c>
    </row>
    <row r="71" spans="1:2" x14ac:dyDescent="0.25">
      <c r="A71" s="50">
        <v>22</v>
      </c>
      <c r="B71" s="27">
        <v>1.0033000000000001</v>
      </c>
    </row>
    <row r="72" spans="1:2" x14ac:dyDescent="0.25">
      <c r="A72" s="50">
        <v>22.1</v>
      </c>
      <c r="B72" s="27">
        <v>1.0033000000000001</v>
      </c>
    </row>
    <row r="73" spans="1:2" x14ac:dyDescent="0.25">
      <c r="A73" s="50">
        <v>22.2</v>
      </c>
      <c r="B73" s="27">
        <v>1.0033000000000001</v>
      </c>
    </row>
    <row r="74" spans="1:2" x14ac:dyDescent="0.25">
      <c r="A74" s="50">
        <v>22.3</v>
      </c>
      <c r="B74" s="27">
        <v>1.0034000000000001</v>
      </c>
    </row>
    <row r="75" spans="1:2" x14ac:dyDescent="0.25">
      <c r="A75" s="50">
        <v>22.4</v>
      </c>
      <c r="B75" s="27">
        <v>1.0034000000000001</v>
      </c>
    </row>
    <row r="76" spans="1:2" x14ac:dyDescent="0.25">
      <c r="A76" s="50">
        <v>22.5</v>
      </c>
      <c r="B76" s="27">
        <v>1.0034000000000001</v>
      </c>
    </row>
    <row r="77" spans="1:2" x14ac:dyDescent="0.25">
      <c r="A77" s="50">
        <v>22.6</v>
      </c>
      <c r="B77" s="27">
        <v>1.0034000000000001</v>
      </c>
    </row>
    <row r="78" spans="1:2" x14ac:dyDescent="0.25">
      <c r="A78" s="50">
        <v>22.7</v>
      </c>
      <c r="B78" s="27">
        <v>1.0034000000000001</v>
      </c>
    </row>
    <row r="79" spans="1:2" x14ac:dyDescent="0.25">
      <c r="A79" s="50">
        <v>22.8</v>
      </c>
      <c r="B79" s="27">
        <v>1.0035000000000001</v>
      </c>
    </row>
    <row r="80" spans="1:2" x14ac:dyDescent="0.25">
      <c r="A80" s="50">
        <v>22.9</v>
      </c>
      <c r="B80" s="27">
        <v>1.0035000000000001</v>
      </c>
    </row>
    <row r="81" spans="1:2" x14ac:dyDescent="0.25">
      <c r="A81" s="50">
        <v>23</v>
      </c>
      <c r="B81" s="27">
        <v>1.0035000000000001</v>
      </c>
    </row>
    <row r="82" spans="1:2" x14ac:dyDescent="0.25">
      <c r="A82" s="50">
        <v>23.1</v>
      </c>
      <c r="B82" s="27">
        <v>1.0035000000000001</v>
      </c>
    </row>
    <row r="83" spans="1:2" x14ac:dyDescent="0.25">
      <c r="A83" s="50">
        <v>23.2</v>
      </c>
      <c r="B83" s="27">
        <v>1.0035000000000001</v>
      </c>
    </row>
    <row r="84" spans="1:2" x14ac:dyDescent="0.25">
      <c r="A84" s="50">
        <v>23.3</v>
      </c>
      <c r="B84" s="27">
        <v>1.0036</v>
      </c>
    </row>
    <row r="85" spans="1:2" x14ac:dyDescent="0.25">
      <c r="A85" s="50">
        <v>23.4</v>
      </c>
      <c r="B85" s="27">
        <v>1.0036</v>
      </c>
    </row>
    <row r="86" spans="1:2" x14ac:dyDescent="0.25">
      <c r="A86" s="50">
        <v>23.5</v>
      </c>
      <c r="B86" s="27">
        <v>1.0036</v>
      </c>
    </row>
    <row r="87" spans="1:2" x14ac:dyDescent="0.25">
      <c r="A87" s="50">
        <v>23.6</v>
      </c>
      <c r="B87" s="27">
        <v>1.0036</v>
      </c>
    </row>
    <row r="88" spans="1:2" x14ac:dyDescent="0.25">
      <c r="A88" s="50">
        <v>23.7</v>
      </c>
      <c r="B88" s="27">
        <v>1.0036</v>
      </c>
    </row>
    <row r="89" spans="1:2" x14ac:dyDescent="0.25">
      <c r="A89" s="50">
        <v>23.8</v>
      </c>
      <c r="B89" s="27">
        <v>1.0038</v>
      </c>
    </row>
    <row r="90" spans="1:2" x14ac:dyDescent="0.25">
      <c r="A90" s="50">
        <v>23.9</v>
      </c>
      <c r="B90" s="27">
        <v>1.0038</v>
      </c>
    </row>
    <row r="91" spans="1:2" x14ac:dyDescent="0.25">
      <c r="A91" s="50">
        <v>24</v>
      </c>
      <c r="B91" s="27">
        <v>1.0038</v>
      </c>
    </row>
    <row r="92" spans="1:2" x14ac:dyDescent="0.25">
      <c r="A92" s="50">
        <v>24.1</v>
      </c>
      <c r="B92" s="27">
        <v>1.0038</v>
      </c>
    </row>
    <row r="93" spans="1:2" x14ac:dyDescent="0.25">
      <c r="A93" s="50">
        <v>24.2</v>
      </c>
      <c r="B93" s="27">
        <v>1.0038</v>
      </c>
    </row>
    <row r="94" spans="1:2" x14ac:dyDescent="0.25">
      <c r="A94" s="50">
        <v>24.3</v>
      </c>
      <c r="B94" s="27">
        <v>1.0039</v>
      </c>
    </row>
    <row r="95" spans="1:2" x14ac:dyDescent="0.25">
      <c r="A95" s="50">
        <v>24.4</v>
      </c>
      <c r="B95" s="27">
        <v>1.0039</v>
      </c>
    </row>
    <row r="96" spans="1:2" x14ac:dyDescent="0.25">
      <c r="A96" s="50">
        <v>24.5</v>
      </c>
      <c r="B96" s="27">
        <v>1.0039</v>
      </c>
    </row>
    <row r="97" spans="1:2" x14ac:dyDescent="0.25">
      <c r="A97" s="50">
        <v>24.6</v>
      </c>
      <c r="B97" s="27">
        <v>1.0039</v>
      </c>
    </row>
    <row r="98" spans="1:2" x14ac:dyDescent="0.25">
      <c r="A98" s="50">
        <v>24.7</v>
      </c>
      <c r="B98" s="27">
        <v>1.0039</v>
      </c>
    </row>
    <row r="99" spans="1:2" x14ac:dyDescent="0.25">
      <c r="A99" s="50">
        <v>24.8</v>
      </c>
      <c r="B99" s="27">
        <v>1.004</v>
      </c>
    </row>
    <row r="100" spans="1:2" x14ac:dyDescent="0.25">
      <c r="A100" s="50">
        <v>24.9</v>
      </c>
      <c r="B100" s="27">
        <v>1.004</v>
      </c>
    </row>
    <row r="101" spans="1:2" x14ac:dyDescent="0.25">
      <c r="A101" s="50">
        <v>25</v>
      </c>
      <c r="B101" s="27">
        <v>1.004</v>
      </c>
    </row>
    <row r="102" spans="1:2" x14ac:dyDescent="0.25">
      <c r="A102" s="50">
        <v>25.1</v>
      </c>
      <c r="B102" s="27">
        <v>1.004</v>
      </c>
    </row>
    <row r="103" spans="1:2" x14ac:dyDescent="0.25">
      <c r="A103" s="50">
        <v>25.2</v>
      </c>
      <c r="B103" s="27">
        <v>1.004</v>
      </c>
    </row>
    <row r="104" spans="1:2" x14ac:dyDescent="0.25">
      <c r="A104" s="50">
        <v>25.3</v>
      </c>
      <c r="B104" s="27">
        <v>1.0041</v>
      </c>
    </row>
    <row r="105" spans="1:2" x14ac:dyDescent="0.25">
      <c r="A105" s="50">
        <v>25.4</v>
      </c>
      <c r="B105" s="27">
        <v>1.0041</v>
      </c>
    </row>
    <row r="106" spans="1:2" x14ac:dyDescent="0.25">
      <c r="A106" s="50">
        <v>25.5</v>
      </c>
      <c r="B106" s="27">
        <v>1.0041</v>
      </c>
    </row>
    <row r="107" spans="1:2" x14ac:dyDescent="0.25">
      <c r="A107" s="50">
        <v>25.6</v>
      </c>
      <c r="B107" s="27">
        <v>1.0041</v>
      </c>
    </row>
    <row r="108" spans="1:2" x14ac:dyDescent="0.25">
      <c r="A108" s="50">
        <v>25.7</v>
      </c>
      <c r="B108" s="27">
        <v>1.0041</v>
      </c>
    </row>
    <row r="109" spans="1:2" x14ac:dyDescent="0.25">
      <c r="A109" s="50">
        <v>25.8</v>
      </c>
      <c r="B109" s="27">
        <v>1.0043</v>
      </c>
    </row>
    <row r="110" spans="1:2" x14ac:dyDescent="0.25">
      <c r="A110" s="50">
        <v>25.9</v>
      </c>
      <c r="B110" s="27">
        <v>1.0043</v>
      </c>
    </row>
    <row r="111" spans="1:2" x14ac:dyDescent="0.25">
      <c r="A111" s="50">
        <v>26</v>
      </c>
      <c r="B111" s="27">
        <v>1.0043</v>
      </c>
    </row>
    <row r="112" spans="1:2" x14ac:dyDescent="0.25">
      <c r="A112" s="50">
        <v>26.1</v>
      </c>
      <c r="B112" s="27">
        <v>1.0043</v>
      </c>
    </row>
    <row r="113" spans="1:2" x14ac:dyDescent="0.25">
      <c r="A113" s="50">
        <v>26.2</v>
      </c>
      <c r="B113" s="27">
        <v>1.0043</v>
      </c>
    </row>
    <row r="114" spans="1:2" x14ac:dyDescent="0.25">
      <c r="A114" s="50">
        <v>26.3</v>
      </c>
      <c r="B114" s="27">
        <v>1.0044</v>
      </c>
    </row>
    <row r="115" spans="1:2" x14ac:dyDescent="0.25">
      <c r="A115" s="50">
        <v>26.4</v>
      </c>
      <c r="B115" s="27">
        <v>1.0044</v>
      </c>
    </row>
    <row r="116" spans="1:2" x14ac:dyDescent="0.25">
      <c r="A116" s="50">
        <v>26.5</v>
      </c>
      <c r="B116" s="27">
        <v>1.0044</v>
      </c>
    </row>
    <row r="117" spans="1:2" x14ac:dyDescent="0.25">
      <c r="A117" s="50">
        <v>26.6</v>
      </c>
      <c r="B117" s="27">
        <v>1.0044</v>
      </c>
    </row>
    <row r="118" spans="1:2" x14ac:dyDescent="0.25">
      <c r="A118" s="50">
        <v>26.7</v>
      </c>
      <c r="B118" s="27">
        <v>1.0044</v>
      </c>
    </row>
    <row r="119" spans="1:2" x14ac:dyDescent="0.25">
      <c r="A119" s="51"/>
    </row>
    <row r="120" spans="1:2" x14ac:dyDescent="0.25">
      <c r="A120" s="51"/>
    </row>
    <row r="121" spans="1:2" x14ac:dyDescent="0.25">
      <c r="A121" s="51"/>
    </row>
    <row r="122" spans="1:2" x14ac:dyDescent="0.25">
      <c r="A122" s="51"/>
    </row>
    <row r="123" spans="1:2" x14ac:dyDescent="0.25">
      <c r="A123" s="51"/>
    </row>
    <row r="124" spans="1:2" x14ac:dyDescent="0.25">
      <c r="A124" s="51"/>
    </row>
    <row r="125" spans="1:2" x14ac:dyDescent="0.25">
      <c r="A125" s="51"/>
    </row>
    <row r="126" spans="1:2" x14ac:dyDescent="0.25">
      <c r="A126" s="51"/>
    </row>
    <row r="127" spans="1:2" x14ac:dyDescent="0.25">
      <c r="A127" s="51"/>
    </row>
    <row r="128" spans="1:2" x14ac:dyDescent="0.25">
      <c r="A128" s="51"/>
    </row>
    <row r="129" spans="1:1" x14ac:dyDescent="0.25">
      <c r="A129" s="51"/>
    </row>
    <row r="130" spans="1:1" x14ac:dyDescent="0.25">
      <c r="A130" s="51"/>
    </row>
    <row r="131" spans="1:1" x14ac:dyDescent="0.25">
      <c r="A131" s="51"/>
    </row>
    <row r="132" spans="1:1" x14ac:dyDescent="0.25">
      <c r="A132" s="51"/>
    </row>
    <row r="133" spans="1:1" x14ac:dyDescent="0.25">
      <c r="A133" s="51"/>
    </row>
    <row r="134" spans="1:1" x14ac:dyDescent="0.25">
      <c r="A134" s="51"/>
    </row>
    <row r="135" spans="1:1" x14ac:dyDescent="0.25">
      <c r="A135" s="51"/>
    </row>
    <row r="136" spans="1:1" x14ac:dyDescent="0.25">
      <c r="A136" s="51"/>
    </row>
    <row r="137" spans="1:1" x14ac:dyDescent="0.25">
      <c r="A137" s="51"/>
    </row>
    <row r="138" spans="1:1" x14ac:dyDescent="0.25">
      <c r="A138" s="51"/>
    </row>
    <row r="139" spans="1:1" x14ac:dyDescent="0.25">
      <c r="A139" s="51"/>
    </row>
    <row r="140" spans="1:1" x14ac:dyDescent="0.25">
      <c r="A140" s="51"/>
    </row>
    <row r="141" spans="1:1" x14ac:dyDescent="0.25">
      <c r="A141" s="51"/>
    </row>
    <row r="142" spans="1:1" x14ac:dyDescent="0.25">
      <c r="A142" s="51"/>
    </row>
    <row r="143" spans="1:1" x14ac:dyDescent="0.25">
      <c r="A143" s="51"/>
    </row>
    <row r="144" spans="1:1" x14ac:dyDescent="0.25">
      <c r="A144" s="51"/>
    </row>
    <row r="145" spans="1:1" x14ac:dyDescent="0.25">
      <c r="A145" s="51"/>
    </row>
    <row r="146" spans="1:1" x14ac:dyDescent="0.25">
      <c r="A146" s="51"/>
    </row>
    <row r="147" spans="1:1" x14ac:dyDescent="0.25">
      <c r="A147" s="51"/>
    </row>
    <row r="148" spans="1:1" x14ac:dyDescent="0.25">
      <c r="A148" s="51"/>
    </row>
    <row r="149" spans="1:1" x14ac:dyDescent="0.25">
      <c r="A149" s="51"/>
    </row>
    <row r="150" spans="1:1" x14ac:dyDescent="0.25">
      <c r="A150" s="51"/>
    </row>
    <row r="151" spans="1:1" x14ac:dyDescent="0.25">
      <c r="A151" s="51"/>
    </row>
    <row r="152" spans="1:1" x14ac:dyDescent="0.25">
      <c r="A152" s="51"/>
    </row>
    <row r="153" spans="1:1" x14ac:dyDescent="0.25">
      <c r="A153" s="51"/>
    </row>
    <row r="154" spans="1:1" x14ac:dyDescent="0.25">
      <c r="A154" s="51"/>
    </row>
    <row r="155" spans="1:1" x14ac:dyDescent="0.25">
      <c r="A155" s="51"/>
    </row>
    <row r="156" spans="1:1" x14ac:dyDescent="0.25">
      <c r="A156" s="51"/>
    </row>
    <row r="157" spans="1:1" x14ac:dyDescent="0.25">
      <c r="A157" s="51"/>
    </row>
    <row r="158" spans="1:1" x14ac:dyDescent="0.25">
      <c r="A158" s="51"/>
    </row>
    <row r="159" spans="1:1" x14ac:dyDescent="0.25">
      <c r="A159" s="51"/>
    </row>
    <row r="160" spans="1:1" x14ac:dyDescent="0.25">
      <c r="A160" s="51"/>
    </row>
    <row r="161" spans="1:1" x14ac:dyDescent="0.25">
      <c r="A161" s="51"/>
    </row>
    <row r="162" spans="1:1" x14ac:dyDescent="0.25">
      <c r="A162" s="51"/>
    </row>
    <row r="163" spans="1:1" x14ac:dyDescent="0.25">
      <c r="A163" s="51"/>
    </row>
    <row r="164" spans="1:1" x14ac:dyDescent="0.25">
      <c r="A164" s="51"/>
    </row>
    <row r="165" spans="1:1" x14ac:dyDescent="0.25">
      <c r="A165" s="51"/>
    </row>
    <row r="166" spans="1:1" x14ac:dyDescent="0.25">
      <c r="A166" s="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181248258</vt:lpstr>
      <vt:lpstr>111668831</vt:lpstr>
      <vt:lpstr>Z Factor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Liew Carmen</dc:creator>
  <cp:lastModifiedBy>Luqmanul Hakim Bin Khudzri</cp:lastModifiedBy>
  <cp:lastPrinted>2022-12-16T01:42:42Z</cp:lastPrinted>
  <dcterms:created xsi:type="dcterms:W3CDTF">2021-05-10T00:50:45Z</dcterms:created>
  <dcterms:modified xsi:type="dcterms:W3CDTF">2024-09-17T04:13:16Z</dcterms:modified>
</cp:coreProperties>
</file>