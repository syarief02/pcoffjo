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JOE-PC\Users\Gunasama\Documents\DIYANA\ICPMS\RESULT\"/>
    </mc:Choice>
  </mc:AlternateContent>
  <xr:revisionPtr revIDLastSave="0" documentId="13_ncr:1_{01B6775E-4C66-4071-9FFB-2BE2D94C680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<sst xmlns="http://schemas.openxmlformats.org/spreadsheetml/2006/main" count="1333" uniqueCount="107">
  <si>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</si>
  <si>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</si>
  <si>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</si>
  <si>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</si>
  <si>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</si>
  <si>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</si>
  <si>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</si>
  <si>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</si>
  <si>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</si>
  <si>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</si>
  <si>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</si>
  <si>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</si>
  <si>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</si>
  <si>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</si>
  <si>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</si>
  <si>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</si>
  <si>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</si>
  <si>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</si>
  <si>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</si>
  <si>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</si>
  <si>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</si>
  <si>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</si>
  <si>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</si>
  <si>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</si>
  <si>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</si>
  <si>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</si>
  <si>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</si>
  <si>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</si>
  <si>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</si>
  <si>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</si>
  <si>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</si>
  <si>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</si>
  <si>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</si>
  <si>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</si>
  <si>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</si>
  <si>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</si>
  <si>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</si>
  <si>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</si>
  <si>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</si>
  <si>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</si>
  <si>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</si>
  <si>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</si>
  <si>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</si>
  <si>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</si>
  <si>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</si>
  <si>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</si>
  <si>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</si>
  <si>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</si>
  <si>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</si>
  <si>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</si>
  <si>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</si>
  <si>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</si>
  <si>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</si>
  <si>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</si>
  <si>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</si>
  <si>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</si>
  <si>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</si>
  <si>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</si>
  <si>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</si>
  <si>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</si>
  <si>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</si>
  <si>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</si>
  <si>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</si>
  <si>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</si>
  <si>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</si>
  <si>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</si>
  <si>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</si>
  <si>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</si>
  <si>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</si>
  <si>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</si>
  <si>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</si>
  <si>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</si>
  <si>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</si>
  <si>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</si>
  <si>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</si>
  <si>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</si>
  <si>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</si>
  <si>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</si>
  <si>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</si>
  <si>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</si>
  <si>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</si>
  <si>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</si>
  <si>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</si>
  <si>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</si>
  <si>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</si>
  <si>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</si>
  <si>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</si>
  <si>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</si>
  <si>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</si>
  <si>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</si>
  <si>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</si>
  <si>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</si>
  <si>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</si>
  <si>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</si>
  <si>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</si>
  <si>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</si>
  <si>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</si>
  <si>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</si>
  <si>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</si>
  <si>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</si>
  <si>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</si>
  <si>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</si>
  <si>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</si>
  <si>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</si>
  <si>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151024(1)</t>
  </si>
  <si>
    <r>
      <t xml:space="preserve">  </t>
    </r>
    <r>
      <rPr>
        <sz val="12"/>
        <color theme="1"/>
        <rFont val="Calibri"/>
        <family val="2"/>
        <scheme val="minor"/>
      </rPr>
      <t xml:space="preserve"> IQBAL   NORDIYANA   NASOHA</t>
    </r>
  </si>
  <si>
    <t>15/10/2024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</si>
</sst>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8" xfId="0" applyFont="1" applyBorder="1"/>
    <xf numFmtId="0" fontId="0" fillId="0" borderId="34" xfId="0" applyBorder="1"/>
    <xf numFmtId="0" fontId="0" fillId="0" borderId="39" xfId="0" applyBorder="1"/>
    <xf numFmtId="0" fontId="0" fillId="0" borderId="38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0" fillId="0" borderId="16" xfId="0" applyBorder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168" fontId="0" fillId="0" borderId="37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164" fontId="9" fillId="11" borderId="0" xfId="0" applyNumberFormat="1" applyFont="1" applyFill="1"/>
    <xf numFmtId="0" fontId="2" fillId="0" borderId="44" xfId="0" applyFont="1" applyBorder="1" applyAlignment="1">
      <alignment horizontal="left"/>
    </xf>
    <xf numFmtId="0" fontId="0" fillId="7" borderId="0" xfId="0" applyFill="1" applyAlignment="1">
      <alignment horizontal="center"/>
    </xf>
    <xf numFmtId="0" fontId="0" fillId="7" borderId="40" xfId="0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4" fillId="5" borderId="41" xfId="0" applyFont="1" applyFill="1" applyBorder="1" applyAlignment="1">
      <alignment horizontal="center" vertical="center"/>
    </xf>
    <xf numFmtId="0" fontId="14" fillId="5" borderId="36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7" borderId="40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49" fontId="1" fillId="0" borderId="13" xfId="0" applyNumberFormat="1" applyFont="1" applyBorder="1"/>
    <xf numFmtId="0" fontId="1" fillId="0" borderId="43" xfId="0" applyFont="1" applyBorder="1" applyAlignment="1">
      <alignment horizontal="left"/>
    </xf>
    <xf numFmtId="164" fontId="0" fillId="0" borderId="16" xfId="0" applyNumberFormat="1" applyBorder="1"/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FF99"/>
      <color rgb="FF66FFFF"/>
      <color rgb="FFB0DD7F"/>
      <color rgb="FFB4DE86"/>
      <color rgb="FFFFFF66"/>
      <color rgb="FFFF7C80"/>
      <color rgb="FFB2DE82"/>
      <color rgb="FFBAE18F"/>
      <color rgb="FFB6E088"/>
      <color rgb="FFABDB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O20" sqref="O20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3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76"/>
      <c r="F1" s="78" t="s">
        <v>89</v>
      </c>
      <c r="G1" s="83">
        <v>2024090107</v>
      </c>
      <c r="H1" s="66" t="s">
        <v>72</v>
      </c>
      <c r="I1" s="157">
        <v>161.57499999999999</v>
      </c>
      <c r="J1" s="76"/>
    </row>
    <row r="2" spans="1:10" ht="15.75" customHeight="1" thickBot="1" x14ac:dyDescent="0.3">
      <c r="A2" s="54" t="s">
        <v>3</v>
      </c>
      <c r="B2" s="155" t="s">
        <v>104</v>
      </c>
      <c r="E2" s="76"/>
      <c r="F2" s="79"/>
      <c r="G2" s="84"/>
      <c r="H2" s="67" t="s">
        <v>80</v>
      </c>
      <c r="I2" s="157">
        <v>60.954000000000001</v>
      </c>
      <c r="J2" s="76"/>
    </row>
    <row r="3" spans="1:10" ht="15" customHeight="1" thickBot="1" x14ac:dyDescent="0.3">
      <c r="A3" s="53" t="s">
        <v>63</v>
      </c>
      <c r="B3" s="57" t="s">
        <v>65</v>
      </c>
      <c r="E3" s="76"/>
      <c r="F3" s="79"/>
      <c r="G3" s="84"/>
      <c r="H3" s="68" t="s">
        <v>14</v>
      </c>
      <c r="I3" s="157">
        <v>18.8</v>
      </c>
      <c r="J3" s="76"/>
    </row>
    <row r="4" spans="1:10" ht="15.75" customHeight="1" thickBot="1" x14ac:dyDescent="0.3">
      <c r="A4" s="55" t="s">
        <v>64</v>
      </c>
      <c r="B4" s="41" t="b">
        <v>0</v>
      </c>
      <c r="E4" s="76"/>
      <c r="F4" s="80"/>
      <c r="G4" s="85"/>
      <c r="H4" s="63" t="s">
        <v>73</v>
      </c>
      <c r="I4" s="157">
        <v>151.71100000000001</v>
      </c>
      <c r="J4" s="76"/>
    </row>
    <row r="5" spans="1:10" ht="15.75" thickBot="1" x14ac:dyDescent="0.3">
      <c r="A5" s="42" t="s">
        <v>66</v>
      </c>
      <c r="B5" s="59" t="b">
        <v>1</v>
      </c>
      <c r="E5" s="76"/>
      <c r="F5" s="77"/>
      <c r="G5" s="77"/>
      <c r="H5" s="77"/>
      <c r="I5" s="77"/>
      <c r="J5" s="76"/>
    </row>
    <row r="6" spans="1:10" ht="15.75" thickBot="1" x14ac:dyDescent="0.3">
      <c r="A6" s="56" t="s">
        <v>67</v>
      </c>
      <c r="B6" s="61"/>
      <c r="E6" s="76"/>
      <c r="F6" s="78" t="s">
        <v>90</v>
      </c>
      <c r="G6" s="83"/>
      <c r="H6" s="66" t="s">
        <v>72</v>
      </c>
      <c r="I6" s="65"/>
      <c r="J6" s="76"/>
    </row>
    <row r="7" spans="1:10" ht="15.75" thickBot="1" x14ac:dyDescent="0.3">
      <c r="A7" s="55" t="s">
        <v>68</v>
      </c>
      <c r="B7" s="58" t="b">
        <v>1</v>
      </c>
      <c r="E7" s="76"/>
      <c r="F7" s="79"/>
      <c r="G7" s="84"/>
      <c r="H7" s="67" t="s">
        <v>80</v>
      </c>
      <c r="I7" s="65"/>
      <c r="J7" s="76"/>
    </row>
    <row r="8" spans="1:10" ht="15.75" thickBot="1" x14ac:dyDescent="0.3">
      <c r="A8" s="42" t="s">
        <v>88</v>
      </c>
      <c r="B8" s="59" t="b">
        <v>0</v>
      </c>
      <c r="E8" s="76"/>
      <c r="F8" s="79"/>
      <c r="G8" s="84"/>
      <c r="H8" s="68" t="s">
        <v>14</v>
      </c>
      <c r="I8" s="65"/>
      <c r="J8" s="76"/>
    </row>
    <row r="9" spans="1:10" ht="15.75" thickBot="1" x14ac:dyDescent="0.3">
      <c r="A9" s="56" t="s">
        <v>69</v>
      </c>
      <c r="B9" s="60"/>
      <c r="E9" s="76"/>
      <c r="F9" s="80"/>
      <c r="G9" s="85"/>
      <c r="H9" s="63" t="s">
        <v>73</v>
      </c>
      <c r="I9" s="65"/>
      <c r="J9" s="76"/>
    </row>
    <row r="10" spans="1:10" ht="15.75" thickBot="1" x14ac:dyDescent="0.3">
      <c r="A10" s="55" t="s">
        <v>70</v>
      </c>
      <c r="B10" s="58" t="b">
        <v>1</v>
      </c>
      <c r="E10" s="76"/>
      <c r="F10" s="77"/>
      <c r="G10" s="77"/>
      <c r="H10" s="77"/>
      <c r="I10" s="77"/>
      <c r="J10" s="76"/>
    </row>
    <row r="11" spans="1:10" ht="15.75" customHeight="1" thickBot="1" x14ac:dyDescent="0.3">
      <c r="A11" s="44" t="s">
        <v>71</v>
      </c>
      <c r="B11" s="59" t="b">
        <v>0</v>
      </c>
      <c r="E11" s="76"/>
      <c r="F11" s="78" t="s">
        <v>91</v>
      </c>
      <c r="G11" s="83"/>
      <c r="H11" s="66" t="s">
        <v>72</v>
      </c>
      <c r="I11" s="65"/>
      <c r="J11" s="76"/>
    </row>
    <row r="12" spans="1:10" ht="15" customHeight="1" thickBot="1" x14ac:dyDescent="0.3">
      <c r="A12" s="81" t="s">
        <v>42</v>
      </c>
      <c r="B12" s="86" t="s">
        <v>78</v>
      </c>
      <c r="C12" s="88" t="s">
        <v>79</v>
      </c>
      <c r="E12" s="76"/>
      <c r="F12" s="79"/>
      <c r="G12" s="84"/>
      <c r="H12" s="67" t="s">
        <v>80</v>
      </c>
      <c r="I12" s="65"/>
      <c r="J12" s="76"/>
    </row>
    <row r="13" spans="1:10" ht="15" customHeight="1" thickBot="1" x14ac:dyDescent="0.3">
      <c r="A13" s="82"/>
      <c r="B13" s="87"/>
      <c r="C13" s="89"/>
      <c r="E13" s="76"/>
      <c r="F13" s="79"/>
      <c r="G13" s="84"/>
      <c r="H13" s="68" t="s">
        <v>14</v>
      </c>
      <c r="I13" s="65"/>
      <c r="J13" s="76"/>
    </row>
    <row r="14" spans="1:10" ht="15.75" customHeight="1" thickBot="1" x14ac:dyDescent="0.3">
      <c r="A14" s="62" t="s">
        <v>72</v>
      </c>
      <c r="B14" s="41" t="s">
        <v>81</v>
      </c>
      <c r="C14" s="47">
        <v>45808</v>
      </c>
      <c r="E14" s="76"/>
      <c r="F14" s="80"/>
      <c r="G14" s="85"/>
      <c r="H14" s="63" t="s">
        <v>73</v>
      </c>
      <c r="I14" s="65"/>
      <c r="J14" s="76"/>
    </row>
    <row r="15" spans="1:10" ht="15.75" thickBot="1" x14ac:dyDescent="0.3">
      <c r="A15" s="71" t="s">
        <v>14</v>
      </c>
      <c r="B15" s="70" t="s">
        <v>82</v>
      </c>
      <c r="C15" s="47">
        <v>45716</v>
      </c>
      <c r="E15" s="76"/>
      <c r="F15" s="77"/>
      <c r="G15" s="77"/>
      <c r="H15" s="77"/>
      <c r="I15" s="77"/>
      <c r="J15" s="76"/>
    </row>
    <row r="16" spans="1:10" ht="15" customHeight="1" thickBot="1" x14ac:dyDescent="0.3">
      <c r="A16" s="71" t="s">
        <v>73</v>
      </c>
      <c r="B16" s="41" t="s">
        <v>83</v>
      </c>
      <c r="C16" s="47">
        <v>45688</v>
      </c>
      <c r="E16" s="76"/>
      <c r="F16" s="78" t="s">
        <v>92</v>
      </c>
      <c r="G16" s="83"/>
      <c r="H16" s="66" t="s">
        <v>72</v>
      </c>
      <c r="I16" s="65"/>
      <c r="J16" s="76"/>
    </row>
    <row r="17" spans="1:10" ht="15.75" customHeight="1" thickBot="1" x14ac:dyDescent="0.3">
      <c r="A17" s="72" t="s">
        <v>80</v>
      </c>
      <c r="B17" s="46" t="s">
        <v>84</v>
      </c>
      <c r="C17" s="48">
        <v>46142</v>
      </c>
      <c r="E17" s="76"/>
      <c r="F17" s="79"/>
      <c r="G17" s="84"/>
      <c r="H17" s="67" t="s">
        <v>80</v>
      </c>
      <c r="I17" s="65"/>
      <c r="J17" s="76"/>
    </row>
    <row r="18" spans="1:10" ht="15" customHeight="1" thickBot="1" x14ac:dyDescent="0.3">
      <c r="A18" s="52" t="s">
        <v>85</v>
      </c>
      <c r="B18" s="49"/>
      <c r="C18" s="50"/>
      <c r="E18" s="76"/>
      <c r="F18" s="79"/>
      <c r="G18" s="84"/>
      <c r="H18" s="68" t="s">
        <v>14</v>
      </c>
      <c r="I18" s="65"/>
      <c r="J18" s="76"/>
    </row>
    <row r="19" spans="1:10" ht="15.75" customHeight="1" thickBot="1" x14ac:dyDescent="0.3">
      <c r="A19" s="51" t="s">
        <v>86</v>
      </c>
      <c r="B19" s="156" t="s">
        <v>105</v>
      </c>
      <c r="C19" s="75"/>
      <c r="E19" s="76"/>
      <c r="F19" s="80"/>
      <c r="G19" s="85"/>
      <c r="H19" s="63" t="s">
        <v>73</v>
      </c>
      <c r="I19" s="65"/>
      <c r="J19" s="76"/>
    </row>
    <row r="20" spans="1:10" ht="15.75" thickBot="1" x14ac:dyDescent="0.3">
      <c r="A20" s="45" t="s">
        <v>87</v>
      </c>
      <c r="B20" s="69" t="s">
        <v>106</v>
      </c>
      <c r="C20" s="43"/>
      <c r="E20" s="76"/>
      <c r="F20" s="77"/>
      <c r="G20" s="77"/>
      <c r="H20" s="77"/>
      <c r="I20" s="77"/>
      <c r="J20" s="76"/>
    </row>
    <row r="21" spans="1:10" ht="15" customHeight="1" thickBot="1" x14ac:dyDescent="0.3">
      <c r="E21" s="76"/>
      <c r="F21" s="90" t="s">
        <v>93</v>
      </c>
      <c r="G21" s="83"/>
      <c r="H21" s="66" t="s">
        <v>72</v>
      </c>
      <c r="I21" s="65"/>
      <c r="J21" s="76"/>
    </row>
    <row r="22" spans="1:10" ht="15" customHeight="1" thickBot="1" x14ac:dyDescent="0.3">
      <c r="E22" s="76"/>
      <c r="F22" s="91"/>
      <c r="G22" s="84"/>
      <c r="H22" s="67" t="s">
        <v>80</v>
      </c>
      <c r="I22" s="65"/>
      <c r="J22" s="76"/>
    </row>
    <row r="23" spans="1:10" ht="15" customHeight="1" thickBot="1" x14ac:dyDescent="0.3">
      <c r="E23" s="76"/>
      <c r="F23" s="91"/>
      <c r="G23" s="84"/>
      <c r="H23" s="68" t="s">
        <v>14</v>
      </c>
      <c r="I23" s="65"/>
      <c r="J23" s="76"/>
    </row>
    <row r="24" spans="1:10" ht="15.75" customHeight="1" thickBot="1" x14ac:dyDescent="0.3">
      <c r="E24" s="76"/>
      <c r="F24" s="92"/>
      <c r="G24" s="85"/>
      <c r="H24" s="63" t="s">
        <v>73</v>
      </c>
      <c r="I24" s="65"/>
      <c r="J24" s="76"/>
    </row>
    <row r="25" spans="1:10" ht="15.75" thickBot="1" x14ac:dyDescent="0.3">
      <c r="E25" s="76"/>
      <c r="F25" s="77"/>
      <c r="G25" s="77"/>
      <c r="H25" s="77"/>
      <c r="I25" s="77"/>
      <c r="J25" s="76"/>
    </row>
    <row r="26" spans="1:10" ht="15" customHeight="1" thickBot="1" x14ac:dyDescent="0.3">
      <c r="E26" s="76"/>
      <c r="F26" s="78" t="s">
        <v>94</v>
      </c>
      <c r="G26" s="83"/>
      <c r="H26" s="66" t="s">
        <v>72</v>
      </c>
      <c r="I26" s="65"/>
      <c r="J26" s="76"/>
    </row>
    <row r="27" spans="1:10" ht="15" customHeight="1" thickBot="1" x14ac:dyDescent="0.3">
      <c r="E27" s="76"/>
      <c r="F27" s="79"/>
      <c r="G27" s="84"/>
      <c r="H27" s="67" t="s">
        <v>80</v>
      </c>
      <c r="I27" s="65"/>
      <c r="J27" s="76"/>
    </row>
    <row r="28" spans="1:10" ht="15" customHeight="1" thickBot="1" x14ac:dyDescent="0.3">
      <c r="E28" s="76"/>
      <c r="F28" s="79"/>
      <c r="G28" s="84"/>
      <c r="H28" s="68" t="s">
        <v>14</v>
      </c>
      <c r="I28" s="65"/>
      <c r="J28" s="76"/>
    </row>
    <row r="29" spans="1:10" ht="15.75" customHeight="1" thickBot="1" x14ac:dyDescent="0.3">
      <c r="E29" s="76"/>
      <c r="F29" s="80"/>
      <c r="G29" s="85"/>
      <c r="H29" s="63" t="s">
        <v>73</v>
      </c>
      <c r="I29" s="65"/>
      <c r="J29" s="76"/>
    </row>
    <row r="30" spans="1:10" ht="15.75" thickBot="1" x14ac:dyDescent="0.3">
      <c r="E30" s="76"/>
      <c r="F30" s="77"/>
      <c r="G30" s="77"/>
      <c r="H30" s="77"/>
      <c r="I30" s="77"/>
      <c r="J30" s="76"/>
    </row>
    <row r="31" spans="1:10" ht="15" customHeight="1" thickBot="1" x14ac:dyDescent="0.3">
      <c r="E31" s="76"/>
      <c r="F31" s="78" t="s">
        <v>95</v>
      </c>
      <c r="G31" s="83"/>
      <c r="H31" s="66" t="s">
        <v>72</v>
      </c>
      <c r="I31" s="65"/>
      <c r="J31" s="76"/>
    </row>
    <row r="32" spans="1:10" ht="15" customHeight="1" thickBot="1" x14ac:dyDescent="0.3">
      <c r="E32" s="76"/>
      <c r="F32" s="79"/>
      <c r="G32" s="84"/>
      <c r="H32" s="67" t="s">
        <v>80</v>
      </c>
      <c r="I32" s="65"/>
      <c r="J32" s="76"/>
    </row>
    <row r="33" spans="5:10" ht="15" customHeight="1" thickBot="1" x14ac:dyDescent="0.3">
      <c r="E33" s="76"/>
      <c r="F33" s="79"/>
      <c r="G33" s="84"/>
      <c r="H33" s="68" t="s">
        <v>14</v>
      </c>
      <c r="I33" s="65"/>
      <c r="J33" s="76"/>
    </row>
    <row r="34" spans="5:10" ht="15.75" customHeight="1" thickBot="1" x14ac:dyDescent="0.3">
      <c r="E34" s="76"/>
      <c r="F34" s="80"/>
      <c r="G34" s="85"/>
      <c r="H34" s="63" t="s">
        <v>73</v>
      </c>
      <c r="I34" s="65"/>
      <c r="J34" s="76"/>
    </row>
    <row r="35" spans="5:10" ht="15.75" thickBot="1" x14ac:dyDescent="0.3">
      <c r="E35" s="76"/>
      <c r="F35" s="77"/>
      <c r="G35" s="77"/>
      <c r="H35" s="77"/>
      <c r="I35" s="77"/>
      <c r="J35" s="76"/>
    </row>
    <row r="36" spans="5:10" ht="15" customHeight="1" thickBot="1" x14ac:dyDescent="0.3">
      <c r="E36" s="76"/>
      <c r="F36" s="78" t="s">
        <v>96</v>
      </c>
      <c r="G36" s="83"/>
      <c r="H36" s="66" t="s">
        <v>72</v>
      </c>
      <c r="I36" s="65"/>
      <c r="J36" s="76"/>
    </row>
    <row r="37" spans="5:10" ht="15" customHeight="1" thickBot="1" x14ac:dyDescent="0.3">
      <c r="E37" s="76"/>
      <c r="F37" s="79"/>
      <c r="G37" s="84"/>
      <c r="H37" s="67" t="s">
        <v>80</v>
      </c>
      <c r="I37" s="65"/>
      <c r="J37" s="76"/>
    </row>
    <row r="38" spans="5:10" ht="15" customHeight="1" thickBot="1" x14ac:dyDescent="0.3">
      <c r="E38" s="76"/>
      <c r="F38" s="79"/>
      <c r="G38" s="84"/>
      <c r="H38" s="68" t="s">
        <v>14</v>
      </c>
      <c r="I38" s="65"/>
      <c r="J38" s="76"/>
    </row>
    <row r="39" spans="5:10" ht="15.75" customHeight="1" thickBot="1" x14ac:dyDescent="0.3">
      <c r="E39" s="76"/>
      <c r="F39" s="80"/>
      <c r="G39" s="85"/>
      <c r="H39" s="63" t="s">
        <v>73</v>
      </c>
      <c r="I39" s="65"/>
      <c r="J39" s="76"/>
    </row>
    <row r="40" spans="5:10" ht="15.75" thickBot="1" x14ac:dyDescent="0.3">
      <c r="E40" s="76"/>
      <c r="F40" s="77"/>
      <c r="G40" s="77"/>
      <c r="H40" s="77"/>
      <c r="I40" s="77"/>
      <c r="J40" s="76"/>
    </row>
    <row r="41" spans="5:10" ht="15" customHeight="1" thickBot="1" x14ac:dyDescent="0.3">
      <c r="E41" s="76"/>
      <c r="F41" s="78" t="s">
        <v>97</v>
      </c>
      <c r="G41" s="83"/>
      <c r="H41" s="66" t="s">
        <v>72</v>
      </c>
      <c r="I41" s="65"/>
      <c r="J41" s="76"/>
    </row>
    <row r="42" spans="5:10" ht="15" customHeight="1" thickBot="1" x14ac:dyDescent="0.3">
      <c r="E42" s="76"/>
      <c r="F42" s="79"/>
      <c r="G42" s="84"/>
      <c r="H42" s="67" t="s">
        <v>80</v>
      </c>
      <c r="I42" s="65"/>
      <c r="J42" s="76"/>
    </row>
    <row r="43" spans="5:10" ht="15" customHeight="1" thickBot="1" x14ac:dyDescent="0.3">
      <c r="E43" s="76"/>
      <c r="F43" s="79"/>
      <c r="G43" s="84"/>
      <c r="H43" s="68" t="s">
        <v>14</v>
      </c>
      <c r="I43" s="65"/>
      <c r="J43" s="76"/>
    </row>
    <row r="44" spans="5:10" ht="15.75" customHeight="1" thickBot="1" x14ac:dyDescent="0.3">
      <c r="E44" s="76"/>
      <c r="F44" s="80"/>
      <c r="G44" s="85"/>
      <c r="H44" s="63" t="s">
        <v>73</v>
      </c>
      <c r="I44" s="65"/>
      <c r="J44" s="76"/>
    </row>
    <row r="45" spans="5:10" ht="15.75" thickBot="1" x14ac:dyDescent="0.3">
      <c r="E45" s="76"/>
      <c r="F45" s="77"/>
      <c r="G45" s="77"/>
      <c r="H45" s="77"/>
      <c r="I45" s="77"/>
      <c r="J45" s="76"/>
    </row>
    <row r="46" spans="5:10" ht="15" customHeight="1" thickBot="1" x14ac:dyDescent="0.3">
      <c r="E46" s="76"/>
      <c r="F46" s="78" t="s">
        <v>98</v>
      </c>
      <c r="G46" s="83"/>
      <c r="H46" s="66" t="s">
        <v>72</v>
      </c>
      <c r="I46" s="65"/>
      <c r="J46" s="76"/>
    </row>
    <row r="47" spans="5:10" ht="15" customHeight="1" thickBot="1" x14ac:dyDescent="0.3">
      <c r="E47" s="76"/>
      <c r="F47" s="79"/>
      <c r="G47" s="84"/>
      <c r="H47" s="67" t="s">
        <v>80</v>
      </c>
      <c r="I47" s="65"/>
      <c r="J47" s="76"/>
    </row>
    <row r="48" spans="5:10" ht="15" customHeight="1" thickBot="1" x14ac:dyDescent="0.3">
      <c r="E48" s="76"/>
      <c r="F48" s="79"/>
      <c r="G48" s="84"/>
      <c r="H48" s="68" t="s">
        <v>14</v>
      </c>
      <c r="I48" s="65"/>
      <c r="J48" s="76"/>
    </row>
    <row r="49" spans="5:12" ht="15.75" customHeight="1" thickBot="1" x14ac:dyDescent="0.3">
      <c r="E49" s="76"/>
      <c r="F49" s="80"/>
      <c r="G49" s="85"/>
      <c r="H49" s="63" t="s">
        <v>73</v>
      </c>
      <c r="I49" s="65"/>
      <c r="J49" s="76"/>
    </row>
    <row r="50" spans="5:12" ht="15.75" thickBot="1" x14ac:dyDescent="0.3">
      <c r="E50" s="76"/>
      <c r="F50" s="93"/>
      <c r="G50" s="93"/>
      <c r="H50" s="93"/>
      <c r="I50" s="93"/>
      <c r="J50" s="76"/>
      <c r="K50" s="64"/>
      <c r="L50" s="64"/>
    </row>
    <row r="51" spans="5:12" ht="15" customHeight="1" thickBot="1" x14ac:dyDescent="0.3">
      <c r="E51" s="76"/>
      <c r="F51" s="78" t="s">
        <v>99</v>
      </c>
      <c r="G51" s="83"/>
      <c r="H51" s="66" t="s">
        <v>72</v>
      </c>
      <c r="I51" s="65"/>
      <c r="J51" s="76"/>
    </row>
    <row r="52" spans="5:12" ht="15" customHeight="1" thickBot="1" x14ac:dyDescent="0.3">
      <c r="E52" s="76"/>
      <c r="F52" s="79"/>
      <c r="G52" s="84"/>
      <c r="H52" s="67" t="s">
        <v>80</v>
      </c>
      <c r="I52" s="65"/>
      <c r="J52" s="76"/>
    </row>
    <row r="53" spans="5:12" ht="15" customHeight="1" thickBot="1" x14ac:dyDescent="0.3">
      <c r="E53" s="76"/>
      <c r="F53" s="79"/>
      <c r="G53" s="84"/>
      <c r="H53" s="68" t="s">
        <v>14</v>
      </c>
      <c r="I53" s="65"/>
      <c r="J53" s="76"/>
    </row>
    <row r="54" spans="5:12" ht="15.75" customHeight="1" thickBot="1" x14ac:dyDescent="0.3">
      <c r="E54" s="76"/>
      <c r="F54" s="80"/>
      <c r="G54" s="85"/>
      <c r="H54" s="63" t="s">
        <v>73</v>
      </c>
      <c r="I54" s="65"/>
      <c r="J54" s="76"/>
    </row>
    <row r="55" spans="5:12" ht="15.75" thickBot="1" x14ac:dyDescent="0.3">
      <c r="E55" s="76"/>
      <c r="F55" s="77"/>
      <c r="G55" s="77"/>
      <c r="H55" s="77"/>
      <c r="I55" s="77"/>
      <c r="J55" s="76"/>
    </row>
    <row r="56" spans="5:12" ht="15" customHeight="1" thickBot="1" x14ac:dyDescent="0.3">
      <c r="E56" s="76"/>
      <c r="F56" s="78" t="s">
        <v>100</v>
      </c>
      <c r="G56" s="83"/>
      <c r="H56" s="66" t="s">
        <v>72</v>
      </c>
      <c r="I56" s="65"/>
      <c r="J56" s="76"/>
    </row>
    <row r="57" spans="5:12" ht="15" customHeight="1" thickBot="1" x14ac:dyDescent="0.3">
      <c r="E57" s="76"/>
      <c r="F57" s="79"/>
      <c r="G57" s="84"/>
      <c r="H57" s="67" t="s">
        <v>80</v>
      </c>
      <c r="I57" s="65"/>
      <c r="J57" s="76"/>
    </row>
    <row r="58" spans="5:12" ht="15" customHeight="1" thickBot="1" x14ac:dyDescent="0.3">
      <c r="E58" s="76"/>
      <c r="F58" s="79"/>
      <c r="G58" s="84"/>
      <c r="H58" s="68" t="s">
        <v>14</v>
      </c>
      <c r="I58" s="65"/>
      <c r="J58" s="76"/>
    </row>
    <row r="59" spans="5:12" ht="15.75" customHeight="1" thickBot="1" x14ac:dyDescent="0.3">
      <c r="E59" s="76"/>
      <c r="F59" s="80"/>
      <c r="G59" s="85"/>
      <c r="H59" s="63" t="s">
        <v>73</v>
      </c>
      <c r="I59" s="65"/>
      <c r="J59" s="76"/>
    </row>
    <row r="60" spans="5:12" ht="15.75" thickBot="1" x14ac:dyDescent="0.3">
      <c r="E60" s="76"/>
      <c r="F60" s="77"/>
      <c r="G60" s="77"/>
      <c r="H60" s="77"/>
      <c r="I60" s="77"/>
      <c r="J60" s="76"/>
    </row>
    <row r="61" spans="5:12" ht="15" customHeight="1" thickBot="1" x14ac:dyDescent="0.3">
      <c r="E61" s="76"/>
      <c r="F61" s="78" t="s">
        <v>101</v>
      </c>
      <c r="G61" s="83"/>
      <c r="H61" s="66" t="s">
        <v>72</v>
      </c>
      <c r="I61" s="65"/>
      <c r="J61" s="76"/>
    </row>
    <row r="62" spans="5:12" ht="15" customHeight="1" thickBot="1" x14ac:dyDescent="0.3">
      <c r="E62" s="76"/>
      <c r="F62" s="79"/>
      <c r="G62" s="84"/>
      <c r="H62" s="67" t="s">
        <v>80</v>
      </c>
      <c r="I62" s="65"/>
      <c r="J62" s="76"/>
    </row>
    <row r="63" spans="5:12" ht="15" customHeight="1" thickBot="1" x14ac:dyDescent="0.3">
      <c r="E63" s="76"/>
      <c r="F63" s="79"/>
      <c r="G63" s="84"/>
      <c r="H63" s="68" t="s">
        <v>14</v>
      </c>
      <c r="I63" s="65"/>
      <c r="J63" s="76"/>
    </row>
    <row r="64" spans="5:12" ht="15.75" customHeight="1" thickBot="1" x14ac:dyDescent="0.3">
      <c r="E64" s="76"/>
      <c r="F64" s="80"/>
      <c r="G64" s="85"/>
      <c r="H64" s="63" t="s">
        <v>73</v>
      </c>
      <c r="I64" s="65"/>
      <c r="J64" s="76"/>
    </row>
    <row r="65" spans="5:10" ht="15.75" thickBot="1" x14ac:dyDescent="0.3">
      <c r="E65" s="76"/>
      <c r="F65" s="77"/>
      <c r="G65" s="77"/>
      <c r="H65" s="77"/>
      <c r="I65" s="77"/>
      <c r="J65" s="76"/>
    </row>
    <row r="66" spans="5:10" ht="15" customHeight="1" thickBot="1" x14ac:dyDescent="0.3">
      <c r="E66" s="76"/>
      <c r="F66" s="78" t="s">
        <v>102</v>
      </c>
      <c r="G66" s="83"/>
      <c r="H66" s="66" t="s">
        <v>72</v>
      </c>
      <c r="I66" s="65"/>
      <c r="J66" s="76"/>
    </row>
    <row r="67" spans="5:10" ht="15" customHeight="1" thickBot="1" x14ac:dyDescent="0.3">
      <c r="E67" s="76"/>
      <c r="F67" s="79"/>
      <c r="G67" s="84"/>
      <c r="H67" s="67" t="s">
        <v>80</v>
      </c>
      <c r="I67" s="65"/>
      <c r="J67" s="76"/>
    </row>
    <row r="68" spans="5:10" ht="15" customHeight="1" thickBot="1" x14ac:dyDescent="0.3">
      <c r="E68" s="76"/>
      <c r="F68" s="79"/>
      <c r="G68" s="84"/>
      <c r="H68" s="68" t="s">
        <v>14</v>
      </c>
      <c r="I68" s="65"/>
      <c r="J68" s="76"/>
    </row>
    <row r="69" spans="5:10" ht="15.75" customHeight="1" thickBot="1" x14ac:dyDescent="0.3">
      <c r="E69" s="76"/>
      <c r="F69" s="80"/>
      <c r="G69" s="85"/>
      <c r="H69" s="63" t="s">
        <v>73</v>
      </c>
      <c r="I69" s="65"/>
      <c r="J69" s="76"/>
    </row>
    <row r="70" spans="5:10" ht="15.75" thickBot="1" x14ac:dyDescent="0.3">
      <c r="E70" s="76"/>
      <c r="F70" s="77"/>
      <c r="G70" s="77"/>
      <c r="H70" s="77"/>
      <c r="I70" s="77"/>
      <c r="J70" s="76"/>
    </row>
    <row r="71" spans="5:10" ht="15" customHeight="1" thickBot="1" x14ac:dyDescent="0.3">
      <c r="E71" s="76"/>
      <c r="F71" s="78" t="s">
        <v>103</v>
      </c>
      <c r="G71" s="83"/>
      <c r="H71" s="66" t="s">
        <v>72</v>
      </c>
      <c r="I71" s="65"/>
      <c r="J71" s="76"/>
    </row>
    <row r="72" spans="5:10" ht="15" customHeight="1" thickBot="1" x14ac:dyDescent="0.3">
      <c r="E72" s="76"/>
      <c r="F72" s="79"/>
      <c r="G72" s="84"/>
      <c r="H72" s="67" t="s">
        <v>80</v>
      </c>
      <c r="I72" s="65"/>
      <c r="J72" s="76"/>
    </row>
    <row r="73" spans="5:10" ht="15" customHeight="1" thickBot="1" x14ac:dyDescent="0.3">
      <c r="E73" s="76"/>
      <c r="F73" s="79"/>
      <c r="G73" s="84"/>
      <c r="H73" s="68" t="s">
        <v>14</v>
      </c>
      <c r="I73" s="65"/>
      <c r="J73" s="76"/>
    </row>
    <row r="74" spans="5:10" ht="15.75" customHeight="1" thickBot="1" x14ac:dyDescent="0.3">
      <c r="E74" s="76"/>
      <c r="F74" s="80"/>
      <c r="G74" s="85"/>
      <c r="H74" s="63" t="s">
        <v>73</v>
      </c>
      <c r="I74" s="65"/>
      <c r="J74" s="76"/>
    </row>
    <row r="75" spans="5:10" x14ac:dyDescent="0.25">
      <c r="E75" s="76"/>
      <c r="F75" s="76"/>
      <c r="G75" s="76"/>
      <c r="H75" s="76"/>
      <c r="I75" s="76"/>
      <c r="J75" s="76"/>
    </row>
  </sheetData>
  <mergeCells count="51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26:G29"/>
    <mergeCell ref="G31:G34"/>
    <mergeCell ref="F36:F39"/>
    <mergeCell ref="G36:G39"/>
    <mergeCell ref="F41:F44"/>
    <mergeCell ref="G41:G44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B19:C1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L25" sqref="L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FormSampel!G1</f>
        <v>2024090107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74">
        <f>FormSampel!I1</f>
        <v>161.57499999999999</v>
      </c>
      <c r="D20" s="30" t="s">
        <v>50</v>
      </c>
      <c r="E20" s="31">
        <v>1000</v>
      </c>
      <c r="F20" s="105" t="s">
        <v>51</v>
      </c>
      <c r="G20" s="104"/>
      <c r="H20" s="106">
        <f>IF(AND(C21&lt;0.15),"&lt;0.15",C21)</f>
        <v>0.161575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0.161575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74">
        <f>FormSampel!I2</f>
        <v>60.954000000000001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6.0954000000000001E-2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74">
        <f>FormSampel!I3</f>
        <v>18.8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1.8800000000000001E-2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74">
        <f>FormSampel!I4</f>
        <v>151.71100000000001</v>
      </c>
      <c r="D29" s="30" t="s">
        <v>50</v>
      </c>
      <c r="E29" s="36">
        <v>1000</v>
      </c>
      <c r="F29" s="118" t="s">
        <v>51</v>
      </c>
      <c r="G29" s="114"/>
      <c r="H29" s="106">
        <f>IF(AND(C30&lt;0.15),"&lt;0.15",C30)</f>
        <v>0.15171100000000001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0.15171100000000001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8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74">
        <f>FormSampel!I6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74">
        <f>FormSampel!I7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74">
        <f>FormSampel!I8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74">
        <f>FormSampel!I9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K25" sqref="K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FormSampel!G11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74">
        <f>FormSampel!I11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74">
        <f>FormSampel!I12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74">
        <f>FormSampel!I13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74">
        <f>FormSampel!I14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O22" sqref="O2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FormSampel!G16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FormSampel!I16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FormSampel!I17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FormSampel!I18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FormSampel!I19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FormSampel!G21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FormSampel!I21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FormSampel!I22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FormSampel!I23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FormSampel!I24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FormSampel!G26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FormSampel!I26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FormSampel!I27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FormSampel!I28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FormSampel!I29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FormSampel!G31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FormSampel!I31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FormSampel!I32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FormSampel!I33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FormSampel!I34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FormSampel!G36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FormSampel!I36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FormSampel!I37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FormSampel!I38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FormSampel!I39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FormSampel!G41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FormSampel!I41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FormSampel!I42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FormSampel!I43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FormSampel!I44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FormSampel!G46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FormSampel!I46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FormSampel!I47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FormSampel!I48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FormSampel!I49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FormSampel!G51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FormSampel!I51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FormSampel!I52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FormSampel!I53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FormSampel!I54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FormSampel!G56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FormSampel!I56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FormSampel!I57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FormSampel!I58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FormSampel!I59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FormSampel!G61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FormSampel!I61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FormSampel!I62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FormSampel!I63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FormSampel!I64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FormSampel!G66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FormSampel!I66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FormSampel!I67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FormSampel!I68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FormSampel!I69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4" t="s">
        <v>0</v>
      </c>
      <c r="B1" s="125"/>
      <c r="C1" s="125"/>
      <c r="D1" s="125"/>
      <c r="E1" s="125"/>
      <c r="F1" s="125"/>
      <c r="G1" s="125"/>
      <c r="H1" s="125"/>
      <c r="I1" s="125"/>
      <c r="J1" s="126"/>
    </row>
    <row r="2" spans="1:26" x14ac:dyDescent="0.25">
      <c r="A2" s="124" t="s">
        <v>1</v>
      </c>
      <c r="B2" s="125"/>
      <c r="C2" s="125"/>
      <c r="D2" s="125"/>
      <c r="E2" s="125"/>
      <c r="F2" s="125"/>
      <c r="G2" s="125"/>
      <c r="H2" s="125"/>
      <c r="I2" s="125"/>
      <c r="J2" s="126"/>
    </row>
    <row r="3" spans="1:26" x14ac:dyDescent="0.25">
      <c r="A3" s="127" t="s">
        <v>2</v>
      </c>
      <c r="B3" s="125"/>
      <c r="C3" s="126"/>
      <c r="D3" s="128">
        <f>FormSampel!G71</f>
        <v>0</v>
      </c>
      <c r="E3" s="125"/>
      <c r="F3" s="125"/>
      <c r="G3" s="125"/>
      <c r="H3" s="125"/>
      <c r="I3" s="125"/>
      <c r="J3" s="126"/>
    </row>
    <row r="4" spans="1:26" x14ac:dyDescent="0.25">
      <c r="A4" s="127" t="s">
        <v>3</v>
      </c>
      <c r="B4" s="125"/>
      <c r="C4" s="126"/>
      <c r="D4" s="128" t="str">
        <f>FormSampel!B2</f>
        <v>151024(1)</v>
      </c>
      <c r="E4" s="125"/>
      <c r="F4" s="125"/>
      <c r="G4" s="125"/>
      <c r="H4" s="125"/>
      <c r="I4" s="125"/>
      <c r="J4" s="126"/>
    </row>
    <row r="5" spans="1:26" ht="15" customHeight="1" x14ac:dyDescent="0.25">
      <c r="A5" s="129" t="s">
        <v>4</v>
      </c>
      <c r="B5" s="125"/>
      <c r="C5" s="125"/>
      <c r="D5" s="125"/>
      <c r="E5" s="125"/>
      <c r="F5" s="125"/>
      <c r="G5" s="125"/>
      <c r="H5" s="125"/>
      <c r="I5" s="125"/>
      <c r="J5" s="12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9" t="s">
        <v>5</v>
      </c>
      <c r="B6" s="125"/>
      <c r="C6" s="125"/>
      <c r="D6" s="125"/>
      <c r="E6" s="125"/>
      <c r="F6" s="125"/>
      <c r="G6" s="125"/>
      <c r="H6" s="125"/>
      <c r="I6" s="125"/>
      <c r="J6" s="126"/>
    </row>
    <row r="7" spans="1:26" ht="30" customHeight="1" x14ac:dyDescent="0.25">
      <c r="A7" s="130" t="s">
        <v>6</v>
      </c>
      <c r="B7" s="120"/>
      <c r="C7" s="131" t="s">
        <v>7</v>
      </c>
      <c r="D7" s="120"/>
      <c r="E7" s="120"/>
      <c r="F7" s="2" t="s">
        <v>8</v>
      </c>
      <c r="G7" s="119" t="s">
        <v>9</v>
      </c>
      <c r="H7" s="120"/>
      <c r="I7" s="120"/>
      <c r="J7" s="121"/>
    </row>
    <row r="8" spans="1:26" ht="15" customHeight="1" x14ac:dyDescent="0.25">
      <c r="A8" s="132" t="s">
        <v>10</v>
      </c>
      <c r="B8" s="114"/>
      <c r="C8" s="133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22"/>
      <c r="J8" s="123"/>
    </row>
    <row r="9" spans="1:26" ht="30" customHeight="1" x14ac:dyDescent="0.25">
      <c r="A9" s="134" t="s">
        <v>15</v>
      </c>
      <c r="B9" s="114"/>
      <c r="C9" s="133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2" t="s">
        <v>20</v>
      </c>
      <c r="B10" s="114"/>
      <c r="C10" s="133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4" t="s">
        <v>25</v>
      </c>
      <c r="B11" s="114"/>
      <c r="C11" s="137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2" t="s">
        <v>30</v>
      </c>
      <c r="B12" s="114"/>
      <c r="C12" s="133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2" t="s">
        <v>35</v>
      </c>
      <c r="B13" s="114"/>
      <c r="C13" s="133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2" t="s">
        <v>40</v>
      </c>
      <c r="B14" s="114"/>
      <c r="C14" s="133" t="s">
        <v>41</v>
      </c>
      <c r="D14" s="114"/>
      <c r="E14" s="7"/>
      <c r="F14" s="135" t="s">
        <v>42</v>
      </c>
      <c r="G14" s="114"/>
      <c r="H14" s="114"/>
      <c r="I14" s="136" t="s">
        <v>43</v>
      </c>
      <c r="J14" s="123"/>
    </row>
    <row r="15" spans="1:26" ht="15" customHeight="1" x14ac:dyDescent="0.25">
      <c r="A15" s="132" t="s">
        <v>44</v>
      </c>
      <c r="B15" s="114"/>
      <c r="C15" s="133" t="s">
        <v>45</v>
      </c>
      <c r="D15" s="114"/>
      <c r="E15" s="7"/>
      <c r="F15" s="38" t="s">
        <v>74</v>
      </c>
      <c r="G15" s="139" t="str">
        <f>FormSampel!B14</f>
        <v>HC 16350373 - 2</v>
      </c>
      <c r="H15" s="139"/>
      <c r="I15" s="94">
        <f>FormSampel!C14</f>
        <v>45808</v>
      </c>
      <c r="J15" s="95"/>
    </row>
    <row r="16" spans="1:26" ht="15" customHeight="1" x14ac:dyDescent="0.25">
      <c r="A16" s="132" t="s">
        <v>46</v>
      </c>
      <c r="B16" s="114"/>
      <c r="C16" s="138" t="s">
        <v>47</v>
      </c>
      <c r="D16" s="114"/>
      <c r="E16" s="114"/>
      <c r="F16" s="39" t="s">
        <v>75</v>
      </c>
      <c r="G16" s="102" t="str">
        <f>FormSampel!B15</f>
        <v>HC 15161426 - 2</v>
      </c>
      <c r="H16" s="102"/>
      <c r="I16" s="94">
        <f>FormSampel!C15</f>
        <v>45716</v>
      </c>
      <c r="J16" s="95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2" t="str">
        <f>FormSampel!B16</f>
        <v>HC 14813176 - 2</v>
      </c>
      <c r="H17" s="102"/>
      <c r="I17" s="94">
        <f>FormSampel!C16</f>
        <v>45688</v>
      </c>
      <c r="J17" s="9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1" t="str">
        <f>FormSampel!B17</f>
        <v>HC 28942277 - 2</v>
      </c>
      <c r="H18" s="101"/>
      <c r="I18" s="96">
        <f>FormSampel!C17</f>
        <v>46142</v>
      </c>
      <c r="J18" s="97"/>
    </row>
    <row r="19" spans="1:26" x14ac:dyDescent="0.25">
      <c r="A19" s="98" t="s">
        <v>48</v>
      </c>
      <c r="B19" s="99"/>
      <c r="C19" s="99"/>
      <c r="D19" s="99"/>
      <c r="E19" s="99"/>
      <c r="F19" s="99"/>
      <c r="G19" s="99"/>
      <c r="H19" s="99"/>
      <c r="I19" s="99"/>
      <c r="J19" s="100"/>
    </row>
    <row r="20" spans="1:26" ht="26.25" customHeight="1" x14ac:dyDescent="0.25">
      <c r="A20" s="103" t="s">
        <v>49</v>
      </c>
      <c r="B20" s="104"/>
      <c r="C20" s="29">
        <f>FormSampel!I71</f>
        <v>0</v>
      </c>
      <c r="D20" s="30" t="s">
        <v>50</v>
      </c>
      <c r="E20" s="31">
        <v>1000</v>
      </c>
      <c r="F20" s="105" t="s">
        <v>51</v>
      </c>
      <c r="G20" s="104"/>
      <c r="H20" s="106" t="str">
        <f>IF(AND(C21&lt;0.15),"&lt;0.15",C21)</f>
        <v>&lt;0.15</v>
      </c>
      <c r="I20" s="107"/>
      <c r="J20" s="32" t="s">
        <v>52</v>
      </c>
    </row>
    <row r="21" spans="1:26" ht="15.75" customHeight="1" x14ac:dyDescent="0.25">
      <c r="A21" s="33" t="s">
        <v>53</v>
      </c>
      <c r="B21" s="34"/>
      <c r="C21" s="108">
        <f>C20/1000</f>
        <v>0</v>
      </c>
      <c r="D21" s="109"/>
      <c r="E21" s="35"/>
      <c r="F21" s="34"/>
      <c r="G21" s="34"/>
      <c r="H21" s="34"/>
      <c r="I21" s="34"/>
      <c r="J21" s="32"/>
    </row>
    <row r="22" spans="1:26" ht="15.75" customHeight="1" x14ac:dyDescent="0.25">
      <c r="A22" s="110" t="s">
        <v>56</v>
      </c>
      <c r="B22" s="111"/>
      <c r="C22" s="111"/>
      <c r="D22" s="111"/>
      <c r="E22" s="111"/>
      <c r="F22" s="111"/>
      <c r="G22" s="111"/>
      <c r="H22" s="111"/>
      <c r="I22" s="111"/>
      <c r="J22" s="11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3" t="s">
        <v>49</v>
      </c>
      <c r="B23" s="104"/>
      <c r="C23" s="29">
        <f>FormSampel!I72</f>
        <v>0</v>
      </c>
      <c r="D23" s="30" t="s">
        <v>50</v>
      </c>
      <c r="E23" s="36">
        <v>1000</v>
      </c>
      <c r="F23" s="105" t="s">
        <v>51</v>
      </c>
      <c r="G23" s="104"/>
      <c r="H23" s="106" t="str">
        <f>IF(C24&lt;0.15,"&lt;0.15",C24)</f>
        <v>&lt;0.15</v>
      </c>
      <c r="I23" s="107"/>
      <c r="J23" s="32" t="s">
        <v>52</v>
      </c>
    </row>
    <row r="24" spans="1:26" ht="15.75" customHeight="1" x14ac:dyDescent="0.25">
      <c r="A24" s="33" t="s">
        <v>53</v>
      </c>
      <c r="B24" s="34"/>
      <c r="C24" s="108">
        <f>C23/1000</f>
        <v>0</v>
      </c>
      <c r="D24" s="109"/>
      <c r="E24" s="35"/>
      <c r="F24" s="34"/>
      <c r="G24" s="34"/>
      <c r="H24" s="34"/>
      <c r="I24" s="34"/>
      <c r="J24" s="32"/>
    </row>
    <row r="25" spans="1:26" ht="15.75" customHeight="1" x14ac:dyDescent="0.25">
      <c r="A25" s="110" t="s">
        <v>54</v>
      </c>
      <c r="B25" s="111"/>
      <c r="C25" s="111"/>
      <c r="D25" s="111"/>
      <c r="E25" s="111"/>
      <c r="F25" s="111"/>
      <c r="G25" s="111"/>
      <c r="H25" s="111"/>
      <c r="I25" s="111"/>
      <c r="J25" s="11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3" t="s">
        <v>49</v>
      </c>
      <c r="B26" s="114"/>
      <c r="C26" s="29">
        <f>FormSampel!I73</f>
        <v>0</v>
      </c>
      <c r="D26" s="30" t="s">
        <v>50</v>
      </c>
      <c r="E26" s="36">
        <v>1000</v>
      </c>
      <c r="F26" s="115" t="s">
        <v>51</v>
      </c>
      <c r="G26" s="104"/>
      <c r="H26" s="106" t="str">
        <f>IF(AND(C27&lt;0.15),"&lt;0.15",C27)</f>
        <v>&lt;0.15</v>
      </c>
      <c r="I26" s="107"/>
      <c r="J26" s="37" t="s">
        <v>52</v>
      </c>
    </row>
    <row r="27" spans="1:26" ht="15.75" customHeight="1" x14ac:dyDescent="0.25">
      <c r="A27" s="33" t="s">
        <v>53</v>
      </c>
      <c r="B27" s="34"/>
      <c r="C27" s="116">
        <f>C26/1000</f>
        <v>0</v>
      </c>
      <c r="D27" s="117"/>
      <c r="E27" s="35"/>
      <c r="F27" s="34"/>
      <c r="G27" s="34"/>
      <c r="H27" s="34"/>
      <c r="I27" s="34"/>
      <c r="J27" s="32"/>
    </row>
    <row r="28" spans="1:26" ht="15.75" customHeight="1" x14ac:dyDescent="0.25">
      <c r="A28" s="110" t="s">
        <v>55</v>
      </c>
      <c r="B28" s="111"/>
      <c r="C28" s="111"/>
      <c r="D28" s="111"/>
      <c r="E28" s="111"/>
      <c r="F28" s="111"/>
      <c r="G28" s="111"/>
      <c r="H28" s="111"/>
      <c r="I28" s="111"/>
      <c r="J28" s="1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3" t="s">
        <v>49</v>
      </c>
      <c r="B29" s="114"/>
      <c r="C29" s="29">
        <f>FormSampel!I74</f>
        <v>0</v>
      </c>
      <c r="D29" s="30" t="s">
        <v>50</v>
      </c>
      <c r="E29" s="36">
        <v>1000</v>
      </c>
      <c r="F29" s="118" t="s">
        <v>51</v>
      </c>
      <c r="G29" s="114"/>
      <c r="H29" s="106" t="str">
        <f>IF(AND(C30&lt;0.15),"&lt;0.15",C30)</f>
        <v>&lt;0.15</v>
      </c>
      <c r="I29" s="107"/>
      <c r="J29" s="32" t="s">
        <v>52</v>
      </c>
    </row>
    <row r="30" spans="1:26" ht="15.75" customHeight="1" x14ac:dyDescent="0.25">
      <c r="A30" s="33" t="s">
        <v>53</v>
      </c>
      <c r="B30" s="34"/>
      <c r="C30" s="108">
        <f>C29/1000</f>
        <v>0</v>
      </c>
      <c r="D30" s="109"/>
      <c r="E30" s="35"/>
      <c r="F30" s="34"/>
      <c r="G30" s="34"/>
      <c r="H30" s="34"/>
      <c r="I30" s="34"/>
      <c r="J30" s="32"/>
    </row>
    <row r="31" spans="1:26" ht="15.75" customHeight="1" x14ac:dyDescent="0.25">
      <c r="A31" s="151" t="s">
        <v>57</v>
      </c>
      <c r="B31" s="120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2" t="s">
        <v>59</v>
      </c>
      <c r="C32" s="114"/>
      <c r="D32" s="114"/>
      <c r="E32" s="123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23"/>
      <c r="F33" s="21"/>
      <c r="G33" s="1"/>
      <c r="H33" s="1"/>
      <c r="I33" s="1"/>
      <c r="J33" s="16"/>
    </row>
    <row r="34" spans="1:26" ht="15.75" customHeight="1" x14ac:dyDescent="0.25">
      <c r="A34" s="22"/>
      <c r="B34" s="152" t="s">
        <v>60</v>
      </c>
      <c r="C34" s="114"/>
      <c r="D34" s="114"/>
      <c r="E34" s="123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23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3" t="s">
        <v>61</v>
      </c>
      <c r="B38" s="120"/>
      <c r="C38" s="120"/>
      <c r="D38" s="120"/>
      <c r="E38" s="121"/>
      <c r="F38" s="140" t="str">
        <f>FormSampel!B19</f>
        <v xml:space="preserve">   IQBAL   NORDIYANA   NASOHA</v>
      </c>
      <c r="G38" s="141"/>
      <c r="H38" s="144" t="str">
        <f>FormSampel!B20</f>
        <v>15/10/2024</v>
      </c>
      <c r="I38" s="144"/>
      <c r="J38" s="145"/>
    </row>
    <row r="39" spans="1:26" ht="11.25" customHeight="1" x14ac:dyDescent="0.25">
      <c r="A39" s="149"/>
      <c r="B39" s="150"/>
      <c r="C39" s="150"/>
      <c r="D39" s="150"/>
      <c r="E39" s="154"/>
      <c r="F39" s="142"/>
      <c r="G39" s="143"/>
      <c r="H39" s="146"/>
      <c r="I39" s="146"/>
      <c r="J39" s="147"/>
    </row>
    <row r="40" spans="1:26" ht="15.75" customHeight="1" x14ac:dyDescent="0.25">
      <c r="A40" s="148" t="s">
        <v>62</v>
      </c>
      <c r="B40" s="120"/>
      <c r="C40" s="120"/>
      <c r="D40" s="120"/>
      <c r="E40" s="120"/>
      <c r="F40" s="27"/>
      <c r="G40" s="23"/>
      <c r="H40" s="23"/>
      <c r="I40" s="23"/>
      <c r="J40" s="16"/>
    </row>
    <row r="41" spans="1:26" ht="11.25" customHeight="1" x14ac:dyDescent="0.25">
      <c r="A41" s="149"/>
      <c r="B41" s="150"/>
      <c r="C41" s="150"/>
      <c r="D41" s="150"/>
      <c r="E41" s="150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2024-10-21T08:47:54Z</cp:lastPrinted>
  <dcterms:created xsi:type="dcterms:W3CDTF">2006-09-16T00:00:00Z</dcterms:created>
  <dcterms:modified xsi:type="dcterms:W3CDTF">2024-10-21T08:51:49Z</dcterms:modified>
</cp:coreProperties>
</file>