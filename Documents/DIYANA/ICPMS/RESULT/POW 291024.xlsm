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JOE-PC\Users\Gunasama\Documents\DIYANA\ICPMS\RESULT\"/>
    </mc:Choice>
  </mc:AlternateContent>
  <xr:revisionPtr revIDLastSave="0" documentId="13_ncr:1_{3750036D-5F7B-4B21-9535-3C74480AA93B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C21" i="28" s="1"/>
  <c r="H20" i="28" s="1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<sst xmlns="http://schemas.openxmlformats.org/spreadsheetml/2006/main" count="1334" uniqueCount="108">
  <si>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</si>
  <si>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</si>
  <si>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</si>
  <si>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</si>
  <si>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</si>
  <si>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</si>
  <si>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</si>
  <si>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</si>
  <si>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</si>
  <si>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</si>
  <si>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</si>
  <si>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</si>
  <si>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</si>
  <si>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</si>
  <si>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</si>
  <si>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</si>
  <si>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</si>
  <si>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</si>
  <si>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</si>
  <si>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</si>
  <si>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</si>
  <si>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</si>
  <si>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</si>
  <si>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</si>
  <si>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</si>
  <si>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</si>
  <si>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</si>
  <si>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</si>
  <si>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</si>
  <si>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</si>
  <si>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</si>
  <si>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</si>
  <si>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</si>
  <si>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</si>
  <si>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</si>
  <si>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</si>
  <si>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</si>
  <si>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</si>
  <si>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</si>
  <si>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</si>
  <si>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</si>
  <si>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</si>
  <si>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</si>
  <si>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</si>
  <si>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</si>
  <si>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</si>
  <si>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</si>
  <si>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</si>
  <si>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</si>
  <si>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</si>
  <si>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</si>
  <si>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</si>
  <si>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</si>
  <si>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</si>
  <si>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</si>
  <si>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</si>
  <si>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</si>
  <si>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</si>
  <si>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</si>
  <si>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</si>
  <si>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</si>
  <si>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</si>
  <si>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</si>
  <si>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</si>
  <si>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</si>
  <si>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</si>
  <si>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</si>
  <si>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</si>
  <si>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</si>
  <si>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</si>
  <si>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</si>
  <si>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</si>
  <si>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</si>
  <si>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</si>
  <si>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</si>
  <si>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</si>
  <si>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</si>
  <si>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</si>
  <si>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</si>
  <si>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</si>
  <si>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</si>
  <si>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</si>
  <si>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</si>
  <si>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</si>
  <si>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</si>
  <si>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</si>
  <si>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</si>
  <si>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</si>
  <si>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</si>
  <si>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</si>
  <si>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</si>
  <si>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</si>
  <si>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</si>
  <si>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</si>
  <si>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</si>
  <si>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</si>
  <si>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</si>
  <si>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</si>
  <si>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</si>
  <si>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</si>
  <si>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</si>
  <si>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</si>
  <si>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</si>
  <si>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</si>
  <si>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       IQBAL               NORDIYANA</t>
  </si>
  <si>
    <t xml:space="preserve">   </t>
  </si>
  <si>
    <t>301024</t>
  </si>
  <si>
    <t>30/10/2024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</si>
</sst>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5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0" fillId="0" borderId="36" xfId="0" applyBorder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0" fontId="2" fillId="0" borderId="37" xfId="0" applyFont="1" applyBorder="1"/>
    <xf numFmtId="168" fontId="0" fillId="0" borderId="38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0" fillId="7" borderId="41" xfId="0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7" borderId="41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7" borderId="41" xfId="0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49" fontId="1" fillId="0" borderId="13" xfId="0" applyNumberFormat="1" applyFont="1" applyBorder="1"/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P35" sqref="P35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4" bestFit="1" customWidth="1"/>
    <col min="9" max="9" width="13.28515625" style="77" customWidth="1"/>
    <col min="10" max="10" width="2.7109375" customWidth="1"/>
  </cols>
  <sheetData>
    <row r="1" spans="1:10" ht="15.75" customHeight="1" thickBot="1" x14ac:dyDescent="0.3">
      <c r="E1" s="87"/>
      <c r="F1" s="161" t="s">
        <v>89</v>
      </c>
      <c r="G1" s="158">
        <v>2024100034</v>
      </c>
      <c r="H1" s="66" t="s">
        <v>72</v>
      </c>
      <c r="I1" s="76">
        <v>178.316</v>
      </c>
      <c r="J1" s="87"/>
    </row>
    <row r="2" spans="1:10" ht="15.75" customHeight="1" thickBot="1" x14ac:dyDescent="0.3">
      <c r="A2" s="55" t="s">
        <v>3</v>
      </c>
      <c r="B2" s="157" t="s">
        <v>106</v>
      </c>
      <c r="E2" s="87"/>
      <c r="F2" s="162"/>
      <c r="G2" s="159"/>
      <c r="H2" s="67" t="s">
        <v>80</v>
      </c>
      <c r="I2" s="76">
        <v>14.336</v>
      </c>
      <c r="J2" s="87"/>
    </row>
    <row r="3" spans="1:10" ht="15" customHeight="1" thickBot="1" x14ac:dyDescent="0.3">
      <c r="A3" s="54" t="s">
        <v>63</v>
      </c>
      <c r="B3" s="58" t="s">
        <v>65</v>
      </c>
      <c r="E3" s="87"/>
      <c r="F3" s="162"/>
      <c r="G3" s="159"/>
      <c r="H3" s="68" t="s">
        <v>14</v>
      </c>
      <c r="I3" s="76">
        <v>11.885999999999999</v>
      </c>
      <c r="J3" s="87"/>
    </row>
    <row r="4" spans="1:10" ht="15.75" customHeight="1" thickBot="1" x14ac:dyDescent="0.3">
      <c r="A4" s="56" t="s">
        <v>64</v>
      </c>
      <c r="B4" s="41" t="b">
        <v>0</v>
      </c>
      <c r="E4" s="87"/>
      <c r="F4" s="163"/>
      <c r="G4" s="160"/>
      <c r="H4" s="64" t="s">
        <v>73</v>
      </c>
      <c r="I4" s="76">
        <v>514.94899999999996</v>
      </c>
      <c r="J4" s="87"/>
    </row>
    <row r="5" spans="1:10" ht="15.75" thickBot="1" x14ac:dyDescent="0.3">
      <c r="A5" s="42" t="s">
        <v>66</v>
      </c>
      <c r="B5" s="60" t="b">
        <v>1</v>
      </c>
      <c r="E5" s="87"/>
      <c r="F5" s="75"/>
      <c r="G5" s="75"/>
      <c r="H5" s="75"/>
      <c r="I5" s="75"/>
      <c r="J5" s="87"/>
    </row>
    <row r="6" spans="1:10" ht="15.75" thickBot="1" x14ac:dyDescent="0.3">
      <c r="A6" s="57" t="s">
        <v>67</v>
      </c>
      <c r="B6" s="62"/>
      <c r="E6" s="87"/>
      <c r="F6" s="161" t="s">
        <v>90</v>
      </c>
      <c r="G6" s="158">
        <v>2024100035</v>
      </c>
      <c r="H6" s="66" t="s">
        <v>72</v>
      </c>
      <c r="I6" s="76">
        <v>30.611000000000001</v>
      </c>
      <c r="J6" s="87"/>
    </row>
    <row r="7" spans="1:10" ht="15.75" thickBot="1" x14ac:dyDescent="0.3">
      <c r="A7" s="56" t="s">
        <v>68</v>
      </c>
      <c r="B7" s="59" t="b">
        <v>1</v>
      </c>
      <c r="E7" s="87"/>
      <c r="F7" s="162"/>
      <c r="G7" s="159"/>
      <c r="H7" s="67" t="s">
        <v>80</v>
      </c>
      <c r="I7" s="76">
        <v>12.583</v>
      </c>
      <c r="J7" s="87"/>
    </row>
    <row r="8" spans="1:10" ht="15.75" thickBot="1" x14ac:dyDescent="0.3">
      <c r="A8" s="42" t="s">
        <v>88</v>
      </c>
      <c r="B8" s="60" t="b">
        <v>0</v>
      </c>
      <c r="E8" s="87"/>
      <c r="F8" s="162"/>
      <c r="G8" s="159"/>
      <c r="H8" s="68" t="s">
        <v>14</v>
      </c>
      <c r="I8" s="76">
        <v>5.77</v>
      </c>
      <c r="J8" s="87"/>
    </row>
    <row r="9" spans="1:10" ht="15.75" thickBot="1" x14ac:dyDescent="0.3">
      <c r="A9" s="57" t="s">
        <v>69</v>
      </c>
      <c r="B9" s="61"/>
      <c r="E9" s="87"/>
      <c r="F9" s="163"/>
      <c r="G9" s="160"/>
      <c r="H9" s="64" t="s">
        <v>73</v>
      </c>
      <c r="I9" s="76">
        <v>170.46299999999999</v>
      </c>
      <c r="J9" s="87"/>
    </row>
    <row r="10" spans="1:10" ht="15.75" thickBot="1" x14ac:dyDescent="0.3">
      <c r="A10" s="56" t="s">
        <v>70</v>
      </c>
      <c r="B10" s="59" t="b">
        <v>1</v>
      </c>
      <c r="E10" s="87"/>
      <c r="F10" s="75"/>
      <c r="G10" s="75"/>
      <c r="H10" s="75"/>
      <c r="I10" s="75"/>
      <c r="J10" s="87"/>
    </row>
    <row r="11" spans="1:10" ht="15.75" customHeight="1" thickBot="1" x14ac:dyDescent="0.3">
      <c r="A11" s="44" t="s">
        <v>71</v>
      </c>
      <c r="B11" s="60" t="b">
        <v>0</v>
      </c>
      <c r="E11" s="87"/>
      <c r="F11" s="161" t="s">
        <v>91</v>
      </c>
      <c r="G11" s="158">
        <v>2024100039</v>
      </c>
      <c r="H11" s="66" t="s">
        <v>72</v>
      </c>
      <c r="I11" s="76">
        <v>41.956000000000003</v>
      </c>
      <c r="J11" s="87"/>
    </row>
    <row r="12" spans="1:10" ht="15" customHeight="1" thickBot="1" x14ac:dyDescent="0.3">
      <c r="A12" s="85" t="s">
        <v>42</v>
      </c>
      <c r="B12" s="88" t="s">
        <v>78</v>
      </c>
      <c r="C12" s="90" t="s">
        <v>79</v>
      </c>
      <c r="E12" s="87"/>
      <c r="F12" s="162"/>
      <c r="G12" s="159"/>
      <c r="H12" s="67" t="s">
        <v>80</v>
      </c>
      <c r="I12" s="76">
        <v>29.382999999999999</v>
      </c>
      <c r="J12" s="87"/>
    </row>
    <row r="13" spans="1:10" ht="15" customHeight="1" thickBot="1" x14ac:dyDescent="0.3">
      <c r="A13" s="86"/>
      <c r="B13" s="89"/>
      <c r="C13" s="91"/>
      <c r="E13" s="87"/>
      <c r="F13" s="162"/>
      <c r="G13" s="159"/>
      <c r="H13" s="68" t="s">
        <v>14</v>
      </c>
      <c r="I13" s="76">
        <v>16.315999999999999</v>
      </c>
      <c r="J13" s="87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87"/>
      <c r="F14" s="163"/>
      <c r="G14" s="160"/>
      <c r="H14" s="64" t="s">
        <v>73</v>
      </c>
      <c r="I14" s="76">
        <v>476.51299999999998</v>
      </c>
      <c r="J14" s="87"/>
    </row>
    <row r="15" spans="1:10" ht="15.75" thickBot="1" x14ac:dyDescent="0.3">
      <c r="A15" s="72" t="s">
        <v>14</v>
      </c>
      <c r="B15" s="71" t="s">
        <v>82</v>
      </c>
      <c r="C15" s="47">
        <v>45716</v>
      </c>
      <c r="E15" s="87"/>
      <c r="F15" s="75"/>
      <c r="G15" s="75"/>
      <c r="H15" s="75"/>
      <c r="I15" s="75"/>
      <c r="J15" s="87"/>
    </row>
    <row r="16" spans="1:10" ht="15" customHeight="1" thickBot="1" x14ac:dyDescent="0.3">
      <c r="A16" s="72" t="s">
        <v>73</v>
      </c>
      <c r="B16" s="41" t="s">
        <v>83</v>
      </c>
      <c r="C16" s="47">
        <v>45688</v>
      </c>
      <c r="E16" s="87"/>
      <c r="F16" s="161" t="s">
        <v>92</v>
      </c>
      <c r="G16" s="158">
        <v>2024100045</v>
      </c>
      <c r="H16" s="66" t="s">
        <v>72</v>
      </c>
      <c r="I16" s="76">
        <v>118.624</v>
      </c>
      <c r="J16" s="87"/>
    </row>
    <row r="17" spans="1:10" ht="15.75" customHeight="1" thickBot="1" x14ac:dyDescent="0.3">
      <c r="A17" s="73" t="s">
        <v>80</v>
      </c>
      <c r="B17" s="46" t="s">
        <v>84</v>
      </c>
      <c r="C17" s="48">
        <v>46142</v>
      </c>
      <c r="E17" s="87"/>
      <c r="F17" s="162"/>
      <c r="G17" s="159"/>
      <c r="H17" s="67" t="s">
        <v>80</v>
      </c>
      <c r="I17" s="76">
        <v>22.373999999999999</v>
      </c>
      <c r="J17" s="87"/>
    </row>
    <row r="18" spans="1:10" ht="15" customHeight="1" thickBot="1" x14ac:dyDescent="0.3">
      <c r="A18" s="53" t="s">
        <v>85</v>
      </c>
      <c r="B18" s="49"/>
      <c r="C18" s="50"/>
      <c r="E18" s="87"/>
      <c r="F18" s="162"/>
      <c r="G18" s="159"/>
      <c r="H18" s="68" t="s">
        <v>14</v>
      </c>
      <c r="I18" s="76">
        <v>15.82</v>
      </c>
      <c r="J18" s="87"/>
    </row>
    <row r="19" spans="1:10" ht="15.75" customHeight="1" thickBot="1" x14ac:dyDescent="0.3">
      <c r="A19" s="51" t="s">
        <v>86</v>
      </c>
      <c r="B19" s="69" t="s">
        <v>104</v>
      </c>
      <c r="C19" s="52"/>
      <c r="E19" s="87"/>
      <c r="F19" s="163"/>
      <c r="G19" s="160"/>
      <c r="H19" s="64" t="s">
        <v>73</v>
      </c>
      <c r="I19" s="76">
        <v>829.67600000000004</v>
      </c>
      <c r="J19" s="87"/>
    </row>
    <row r="20" spans="1:10" ht="15.75" thickBot="1" x14ac:dyDescent="0.3">
      <c r="A20" s="45" t="s">
        <v>87</v>
      </c>
      <c r="B20" s="70" t="s">
        <v>107</v>
      </c>
      <c r="C20" s="43"/>
      <c r="E20" s="87"/>
      <c r="F20" s="95"/>
      <c r="G20" s="95"/>
      <c r="H20" s="95"/>
      <c r="I20" s="95"/>
      <c r="J20" s="87"/>
    </row>
    <row r="21" spans="1:10" ht="15" customHeight="1" thickBot="1" x14ac:dyDescent="0.3">
      <c r="E21" s="87"/>
      <c r="F21" s="92" t="s">
        <v>93</v>
      </c>
      <c r="G21" s="78">
        <v>2024100047</v>
      </c>
      <c r="H21" s="66" t="s">
        <v>72</v>
      </c>
      <c r="I21" s="76">
        <v>158.34</v>
      </c>
      <c r="J21" s="87"/>
    </row>
    <row r="22" spans="1:10" ht="15" customHeight="1" thickBot="1" x14ac:dyDescent="0.3">
      <c r="E22" s="87"/>
      <c r="F22" s="93"/>
      <c r="G22" s="79"/>
      <c r="H22" s="67" t="s">
        <v>80</v>
      </c>
      <c r="I22" s="76">
        <v>97.406000000000006</v>
      </c>
      <c r="J22" s="87"/>
    </row>
    <row r="23" spans="1:10" ht="15" customHeight="1" thickBot="1" x14ac:dyDescent="0.3">
      <c r="E23" s="87"/>
      <c r="F23" s="93"/>
      <c r="G23" s="79"/>
      <c r="H23" s="68" t="s">
        <v>14</v>
      </c>
      <c r="I23" s="76">
        <v>14.452</v>
      </c>
      <c r="J23" s="87"/>
    </row>
    <row r="24" spans="1:10" ht="15.75" customHeight="1" thickBot="1" x14ac:dyDescent="0.3">
      <c r="E24" s="87"/>
      <c r="F24" s="94"/>
      <c r="G24" s="80"/>
      <c r="H24" s="64" t="s">
        <v>73</v>
      </c>
      <c r="I24" s="76">
        <v>818.77</v>
      </c>
      <c r="J24" s="87"/>
    </row>
    <row r="25" spans="1:10" ht="15.75" thickBot="1" x14ac:dyDescent="0.3">
      <c r="E25" s="87"/>
      <c r="F25" s="95"/>
      <c r="G25" s="95"/>
      <c r="H25" s="95"/>
      <c r="I25" s="95"/>
      <c r="J25" s="87"/>
    </row>
    <row r="26" spans="1:10" ht="15" customHeight="1" thickBot="1" x14ac:dyDescent="0.3">
      <c r="E26" s="87"/>
      <c r="F26" s="81" t="s">
        <v>94</v>
      </c>
      <c r="G26" s="78">
        <v>2024100069</v>
      </c>
      <c r="H26" s="66" t="s">
        <v>72</v>
      </c>
      <c r="I26" s="76">
        <v>149.48599999999999</v>
      </c>
      <c r="J26" s="87"/>
    </row>
    <row r="27" spans="1:10" ht="15" customHeight="1" thickBot="1" x14ac:dyDescent="0.3">
      <c r="E27" s="87"/>
      <c r="F27" s="82"/>
      <c r="G27" s="79"/>
      <c r="H27" s="67" t="s">
        <v>80</v>
      </c>
      <c r="I27" s="76">
        <v>64.593999999999994</v>
      </c>
      <c r="J27" s="87"/>
    </row>
    <row r="28" spans="1:10" ht="15" customHeight="1" thickBot="1" x14ac:dyDescent="0.3">
      <c r="E28" s="87"/>
      <c r="F28" s="82"/>
      <c r="G28" s="79"/>
      <c r="H28" s="68" t="s">
        <v>14</v>
      </c>
      <c r="I28" s="76">
        <v>7.4790000000000001</v>
      </c>
      <c r="J28" s="87"/>
    </row>
    <row r="29" spans="1:10" ht="15.75" customHeight="1" thickBot="1" x14ac:dyDescent="0.3">
      <c r="E29" s="87"/>
      <c r="F29" s="83"/>
      <c r="G29" s="80"/>
      <c r="H29" s="64" t="s">
        <v>73</v>
      </c>
      <c r="I29" s="76">
        <v>443.49400000000003</v>
      </c>
      <c r="J29" s="87"/>
    </row>
    <row r="30" spans="1:10" ht="15.75" thickBot="1" x14ac:dyDescent="0.3">
      <c r="E30" s="87"/>
      <c r="F30" s="95"/>
      <c r="G30" s="95"/>
      <c r="H30" s="95"/>
      <c r="I30" s="95"/>
      <c r="J30" s="87"/>
    </row>
    <row r="31" spans="1:10" ht="15" customHeight="1" thickBot="1" x14ac:dyDescent="0.3">
      <c r="E31" s="87"/>
      <c r="F31" s="81" t="s">
        <v>95</v>
      </c>
      <c r="G31" s="78">
        <v>2024100070</v>
      </c>
      <c r="H31" s="66" t="s">
        <v>72</v>
      </c>
      <c r="I31" s="76">
        <v>78.132000000000005</v>
      </c>
      <c r="J31" s="87"/>
    </row>
    <row r="32" spans="1:10" ht="15" customHeight="1" thickBot="1" x14ac:dyDescent="0.3">
      <c r="E32" s="87"/>
      <c r="F32" s="82"/>
      <c r="G32" s="79"/>
      <c r="H32" s="67" t="s">
        <v>80</v>
      </c>
      <c r="I32" s="76">
        <v>155.345</v>
      </c>
      <c r="J32" s="87"/>
    </row>
    <row r="33" spans="5:10" ht="15" customHeight="1" thickBot="1" x14ac:dyDescent="0.3">
      <c r="E33" s="87"/>
      <c r="F33" s="82"/>
      <c r="G33" s="79"/>
      <c r="H33" s="68" t="s">
        <v>14</v>
      </c>
      <c r="I33" s="76">
        <v>10.478</v>
      </c>
      <c r="J33" s="87"/>
    </row>
    <row r="34" spans="5:10" ht="15.75" customHeight="1" thickBot="1" x14ac:dyDescent="0.3">
      <c r="E34" s="87"/>
      <c r="F34" s="83"/>
      <c r="G34" s="80"/>
      <c r="H34" s="64" t="s">
        <v>73</v>
      </c>
      <c r="I34" s="76">
        <v>1820.421</v>
      </c>
      <c r="J34" s="87"/>
    </row>
    <row r="35" spans="5:10" ht="15.75" thickBot="1" x14ac:dyDescent="0.3">
      <c r="E35" s="87"/>
      <c r="F35" s="95"/>
      <c r="G35" s="95"/>
      <c r="H35" s="95"/>
      <c r="I35" s="95"/>
      <c r="J35" s="87"/>
    </row>
    <row r="36" spans="5:10" ht="15" customHeight="1" thickBot="1" x14ac:dyDescent="0.3">
      <c r="E36" s="87"/>
      <c r="F36" s="81" t="s">
        <v>96</v>
      </c>
      <c r="G36" s="78">
        <v>2024100073</v>
      </c>
      <c r="H36" s="66" t="s">
        <v>72</v>
      </c>
      <c r="I36" s="76">
        <v>17.033000000000001</v>
      </c>
      <c r="J36" s="87"/>
    </row>
    <row r="37" spans="5:10" ht="15" customHeight="1" thickBot="1" x14ac:dyDescent="0.3">
      <c r="E37" s="87"/>
      <c r="F37" s="82"/>
      <c r="G37" s="79"/>
      <c r="H37" s="67" t="s">
        <v>80</v>
      </c>
      <c r="I37" s="76">
        <v>5.5359999999999996</v>
      </c>
      <c r="J37" s="87"/>
    </row>
    <row r="38" spans="5:10" ht="15" customHeight="1" thickBot="1" x14ac:dyDescent="0.3">
      <c r="E38" s="87"/>
      <c r="F38" s="82"/>
      <c r="G38" s="79"/>
      <c r="H38" s="68" t="s">
        <v>14</v>
      </c>
      <c r="I38" s="76">
        <v>4.9329999999999998</v>
      </c>
      <c r="J38" s="87"/>
    </row>
    <row r="39" spans="5:10" ht="15.75" customHeight="1" thickBot="1" x14ac:dyDescent="0.3">
      <c r="E39" s="87"/>
      <c r="F39" s="83"/>
      <c r="G39" s="80"/>
      <c r="H39" s="64" t="s">
        <v>73</v>
      </c>
      <c r="I39" s="76">
        <v>121.547</v>
      </c>
      <c r="J39" s="87"/>
    </row>
    <row r="40" spans="5:10" ht="15.75" thickBot="1" x14ac:dyDescent="0.3">
      <c r="E40" s="87"/>
      <c r="F40" s="95"/>
      <c r="G40" s="95"/>
      <c r="H40" s="95"/>
      <c r="I40" s="95"/>
      <c r="J40" s="87"/>
    </row>
    <row r="41" spans="5:10" ht="15" customHeight="1" thickBot="1" x14ac:dyDescent="0.3">
      <c r="E41" s="87"/>
      <c r="F41" s="81" t="s">
        <v>97</v>
      </c>
      <c r="G41" s="78"/>
      <c r="H41" s="66" t="s">
        <v>72</v>
      </c>
      <c r="I41" s="76"/>
      <c r="J41" s="87"/>
    </row>
    <row r="42" spans="5:10" ht="15" customHeight="1" thickBot="1" x14ac:dyDescent="0.3">
      <c r="E42" s="87"/>
      <c r="F42" s="82"/>
      <c r="G42" s="79"/>
      <c r="H42" s="67" t="s">
        <v>80</v>
      </c>
      <c r="I42" s="76"/>
      <c r="J42" s="87"/>
    </row>
    <row r="43" spans="5:10" ht="15" customHeight="1" thickBot="1" x14ac:dyDescent="0.3">
      <c r="E43" s="87"/>
      <c r="F43" s="82"/>
      <c r="G43" s="79"/>
      <c r="H43" s="68" t="s">
        <v>14</v>
      </c>
      <c r="I43" s="76"/>
      <c r="J43" s="87"/>
    </row>
    <row r="44" spans="5:10" ht="15.75" customHeight="1" thickBot="1" x14ac:dyDescent="0.3">
      <c r="E44" s="87"/>
      <c r="F44" s="83"/>
      <c r="G44" s="80"/>
      <c r="H44" s="64" t="s">
        <v>73</v>
      </c>
      <c r="I44" s="76"/>
      <c r="J44" s="87"/>
    </row>
    <row r="45" spans="5:10" ht="15.75" thickBot="1" x14ac:dyDescent="0.3">
      <c r="E45" s="87"/>
      <c r="F45" s="95"/>
      <c r="G45" s="95"/>
      <c r="H45" s="95"/>
      <c r="I45" s="95"/>
      <c r="J45" s="87"/>
    </row>
    <row r="46" spans="5:10" ht="15" customHeight="1" thickBot="1" x14ac:dyDescent="0.3">
      <c r="E46" s="87"/>
      <c r="F46" s="81" t="s">
        <v>98</v>
      </c>
      <c r="G46" s="78"/>
      <c r="H46" s="66" t="s">
        <v>72</v>
      </c>
      <c r="I46" s="76"/>
      <c r="J46" s="87"/>
    </row>
    <row r="47" spans="5:10" ht="15" customHeight="1" thickBot="1" x14ac:dyDescent="0.3">
      <c r="E47" s="87"/>
      <c r="F47" s="82"/>
      <c r="G47" s="79"/>
      <c r="H47" s="67" t="s">
        <v>80</v>
      </c>
      <c r="I47" s="76"/>
      <c r="J47" s="87"/>
    </row>
    <row r="48" spans="5:10" ht="15" customHeight="1" thickBot="1" x14ac:dyDescent="0.3">
      <c r="E48" s="87"/>
      <c r="F48" s="82"/>
      <c r="G48" s="79"/>
      <c r="H48" s="68" t="s">
        <v>14</v>
      </c>
      <c r="I48" s="76"/>
      <c r="J48" s="87"/>
    </row>
    <row r="49" spans="5:12" ht="15.75" customHeight="1" thickBot="1" x14ac:dyDescent="0.3">
      <c r="E49" s="87"/>
      <c r="F49" s="83"/>
      <c r="G49" s="80"/>
      <c r="H49" s="64" t="s">
        <v>73</v>
      </c>
      <c r="I49" s="76"/>
      <c r="J49" s="87"/>
    </row>
    <row r="50" spans="5:12" ht="15.75" thickBot="1" x14ac:dyDescent="0.3">
      <c r="E50" s="87"/>
      <c r="F50" s="84"/>
      <c r="G50" s="84"/>
      <c r="H50" s="84"/>
      <c r="I50" s="84"/>
      <c r="J50" s="87"/>
      <c r="K50" s="65"/>
      <c r="L50" s="65"/>
    </row>
    <row r="51" spans="5:12" ht="15" customHeight="1" thickBot="1" x14ac:dyDescent="0.3">
      <c r="E51" s="87"/>
      <c r="F51" s="81" t="s">
        <v>99</v>
      </c>
      <c r="G51" s="78"/>
      <c r="H51" s="66" t="s">
        <v>72</v>
      </c>
      <c r="I51" s="76"/>
      <c r="J51" s="87"/>
    </row>
    <row r="52" spans="5:12" ht="15" customHeight="1" thickBot="1" x14ac:dyDescent="0.3">
      <c r="E52" s="87"/>
      <c r="F52" s="82"/>
      <c r="G52" s="79"/>
      <c r="H52" s="67" t="s">
        <v>80</v>
      </c>
      <c r="I52" s="76"/>
      <c r="J52" s="87"/>
    </row>
    <row r="53" spans="5:12" ht="15" customHeight="1" thickBot="1" x14ac:dyDescent="0.3">
      <c r="E53" s="87"/>
      <c r="F53" s="82"/>
      <c r="G53" s="79"/>
      <c r="H53" s="68" t="s">
        <v>14</v>
      </c>
      <c r="I53" s="76"/>
      <c r="J53" s="87"/>
    </row>
    <row r="54" spans="5:12" ht="15.75" customHeight="1" thickBot="1" x14ac:dyDescent="0.3">
      <c r="E54" s="87"/>
      <c r="F54" s="83"/>
      <c r="G54" s="80"/>
      <c r="H54" s="64" t="s">
        <v>73</v>
      </c>
      <c r="I54" s="76"/>
      <c r="J54" s="87"/>
    </row>
    <row r="55" spans="5:12" ht="15.75" thickBot="1" x14ac:dyDescent="0.3">
      <c r="E55" s="87"/>
      <c r="F55" s="95"/>
      <c r="G55" s="95"/>
      <c r="H55" s="95"/>
      <c r="I55" s="95"/>
      <c r="J55" s="87"/>
    </row>
    <row r="56" spans="5:12" ht="15" customHeight="1" thickBot="1" x14ac:dyDescent="0.3">
      <c r="E56" s="87"/>
      <c r="F56" s="81" t="s">
        <v>100</v>
      </c>
      <c r="G56" s="78"/>
      <c r="H56" s="66" t="s">
        <v>72</v>
      </c>
      <c r="I56" s="76"/>
      <c r="J56" s="87"/>
    </row>
    <row r="57" spans="5:12" ht="15" customHeight="1" thickBot="1" x14ac:dyDescent="0.3">
      <c r="E57" s="87"/>
      <c r="F57" s="82"/>
      <c r="G57" s="79"/>
      <c r="H57" s="67" t="s">
        <v>80</v>
      </c>
      <c r="I57" s="76"/>
      <c r="J57" s="87"/>
    </row>
    <row r="58" spans="5:12" ht="15" customHeight="1" thickBot="1" x14ac:dyDescent="0.3">
      <c r="E58" s="87"/>
      <c r="F58" s="82"/>
      <c r="G58" s="79"/>
      <c r="H58" s="68" t="s">
        <v>14</v>
      </c>
      <c r="I58" s="76"/>
      <c r="J58" s="87"/>
    </row>
    <row r="59" spans="5:12" ht="15.75" customHeight="1" thickBot="1" x14ac:dyDescent="0.3">
      <c r="E59" s="87"/>
      <c r="F59" s="83"/>
      <c r="G59" s="80"/>
      <c r="H59" s="64" t="s">
        <v>73</v>
      </c>
      <c r="I59" s="76"/>
      <c r="J59" s="87"/>
    </row>
    <row r="60" spans="5:12" ht="15.75" thickBot="1" x14ac:dyDescent="0.3">
      <c r="E60" s="87"/>
      <c r="F60" s="95"/>
      <c r="G60" s="95"/>
      <c r="H60" s="95"/>
      <c r="I60" s="95"/>
      <c r="J60" s="87"/>
    </row>
    <row r="61" spans="5:12" ht="15" customHeight="1" thickBot="1" x14ac:dyDescent="0.3">
      <c r="E61" s="87"/>
      <c r="F61" s="81" t="s">
        <v>101</v>
      </c>
      <c r="G61" s="78"/>
      <c r="H61" s="66" t="s">
        <v>72</v>
      </c>
      <c r="I61" s="76"/>
      <c r="J61" s="87"/>
    </row>
    <row r="62" spans="5:12" ht="15" customHeight="1" thickBot="1" x14ac:dyDescent="0.3">
      <c r="E62" s="87"/>
      <c r="F62" s="82"/>
      <c r="G62" s="79"/>
      <c r="H62" s="67" t="s">
        <v>80</v>
      </c>
      <c r="I62" s="76"/>
      <c r="J62" s="87"/>
    </row>
    <row r="63" spans="5:12" ht="15" customHeight="1" thickBot="1" x14ac:dyDescent="0.3">
      <c r="E63" s="87"/>
      <c r="F63" s="82"/>
      <c r="G63" s="79"/>
      <c r="H63" s="68" t="s">
        <v>14</v>
      </c>
      <c r="I63" s="76"/>
      <c r="J63" s="87"/>
    </row>
    <row r="64" spans="5:12" ht="15.75" customHeight="1" thickBot="1" x14ac:dyDescent="0.3">
      <c r="E64" s="87"/>
      <c r="F64" s="83"/>
      <c r="G64" s="80"/>
      <c r="H64" s="64" t="s">
        <v>73</v>
      </c>
      <c r="I64" s="76"/>
      <c r="J64" s="87"/>
    </row>
    <row r="65" spans="5:10" ht="15.75" thickBot="1" x14ac:dyDescent="0.3">
      <c r="E65" s="87"/>
      <c r="F65" s="95"/>
      <c r="G65" s="95"/>
      <c r="H65" s="95"/>
      <c r="I65" s="95"/>
      <c r="J65" s="87"/>
    </row>
    <row r="66" spans="5:10" ht="15" customHeight="1" thickBot="1" x14ac:dyDescent="0.3">
      <c r="E66" s="87"/>
      <c r="F66" s="81" t="s">
        <v>102</v>
      </c>
      <c r="G66" s="78"/>
      <c r="H66" s="66" t="s">
        <v>72</v>
      </c>
      <c r="I66" s="76"/>
      <c r="J66" s="87"/>
    </row>
    <row r="67" spans="5:10" ht="15" customHeight="1" thickBot="1" x14ac:dyDescent="0.3">
      <c r="E67" s="87"/>
      <c r="F67" s="82"/>
      <c r="G67" s="79"/>
      <c r="H67" s="67" t="s">
        <v>80</v>
      </c>
      <c r="I67" s="76"/>
      <c r="J67" s="87"/>
    </row>
    <row r="68" spans="5:10" ht="15" customHeight="1" thickBot="1" x14ac:dyDescent="0.3">
      <c r="E68" s="87"/>
      <c r="F68" s="82"/>
      <c r="G68" s="79"/>
      <c r="H68" s="68" t="s">
        <v>14</v>
      </c>
      <c r="I68" s="76"/>
      <c r="J68" s="87"/>
    </row>
    <row r="69" spans="5:10" ht="15.75" customHeight="1" thickBot="1" x14ac:dyDescent="0.3">
      <c r="E69" s="87"/>
      <c r="F69" s="83"/>
      <c r="G69" s="80"/>
      <c r="H69" s="64" t="s">
        <v>73</v>
      </c>
      <c r="I69" s="76"/>
      <c r="J69" s="87"/>
    </row>
    <row r="70" spans="5:10" ht="15.75" thickBot="1" x14ac:dyDescent="0.3">
      <c r="E70" s="87"/>
      <c r="F70" s="95"/>
      <c r="G70" s="95"/>
      <c r="H70" s="95"/>
      <c r="I70" s="95"/>
      <c r="J70" s="87"/>
    </row>
    <row r="71" spans="5:10" ht="15" customHeight="1" thickBot="1" x14ac:dyDescent="0.3">
      <c r="E71" s="87"/>
      <c r="F71" s="81" t="s">
        <v>103</v>
      </c>
      <c r="G71" s="78"/>
      <c r="H71" s="66" t="s">
        <v>72</v>
      </c>
      <c r="I71" s="76"/>
      <c r="J71" s="87"/>
    </row>
    <row r="72" spans="5:10" ht="15" customHeight="1" thickBot="1" x14ac:dyDescent="0.3">
      <c r="E72" s="87"/>
      <c r="F72" s="82"/>
      <c r="G72" s="79"/>
      <c r="H72" s="67" t="s">
        <v>80</v>
      </c>
      <c r="I72" s="76"/>
      <c r="J72" s="87"/>
    </row>
    <row r="73" spans="5:10" ht="15" customHeight="1" thickBot="1" x14ac:dyDescent="0.3">
      <c r="E73" s="87"/>
      <c r="F73" s="82"/>
      <c r="G73" s="79"/>
      <c r="H73" s="68" t="s">
        <v>14</v>
      </c>
      <c r="I73" s="76"/>
      <c r="J73" s="87"/>
    </row>
    <row r="74" spans="5:10" ht="15.75" customHeight="1" thickBot="1" x14ac:dyDescent="0.3">
      <c r="E74" s="87"/>
      <c r="F74" s="83"/>
      <c r="G74" s="80"/>
      <c r="H74" s="64" t="s">
        <v>73</v>
      </c>
      <c r="I74" s="76"/>
      <c r="J74" s="87"/>
    </row>
    <row r="75" spans="5:10" x14ac:dyDescent="0.25">
      <c r="E75" s="87"/>
      <c r="F75" s="87"/>
      <c r="G75" s="87"/>
      <c r="H75" s="87"/>
      <c r="I75" s="87"/>
      <c r="J75" s="87"/>
    </row>
  </sheetData>
  <mergeCells count="47">
    <mergeCell ref="E75:J75"/>
    <mergeCell ref="J1:J74"/>
    <mergeCell ref="F30:I30"/>
    <mergeCell ref="F25:I25"/>
    <mergeCell ref="F20:I2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 G71">
    <cfRule type="expression" dxfId="74" priority="82">
      <formula>LEN(G6:G9)=0</formula>
    </cfRule>
  </conditionalFormatting>
  <conditionalFormatting sqref="G1">
    <cfRule type="expression" dxfId="73" priority="81">
      <formula>LEN(G1:G4)=0</formula>
    </cfRule>
  </conditionalFormatting>
  <conditionalFormatting sqref="G11">
    <cfRule type="expression" dxfId="72" priority="80">
      <formula>LEN(G11:G14)=0</formula>
    </cfRule>
  </conditionalFormatting>
  <conditionalFormatting sqref="G16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N20" sqref="N2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FormSampel!G1</f>
        <v>2024100034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FormSampel!I1</f>
        <v>178.316</v>
      </c>
      <c r="D20" s="30" t="s">
        <v>50</v>
      </c>
      <c r="E20" s="31">
        <v>1000</v>
      </c>
      <c r="F20" s="138" t="s">
        <v>51</v>
      </c>
      <c r="G20" s="139"/>
      <c r="H20" s="140">
        <f>IF(AND(C21&lt;0.15),"&lt;0.15",C21)</f>
        <v>0.178316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0.178316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FormSampel!I2</f>
        <v>14.336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1.4336E-2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FormSampel!I3</f>
        <v>11.885999999999999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1.1885999999999999E-2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FormSampel!I4</f>
        <v>514.94899999999996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0.51494899999999999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0.51494899999999999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FormSampel!G6</f>
        <v>2024100035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FormSampel!I6</f>
        <v>30.611000000000001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3.0610999999999999E-2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FormSampel!I7</f>
        <v>12.583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1.2583E-2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FormSampel!I8</f>
        <v>5.77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5.77E-3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FormSampel!I9</f>
        <v>170.46299999999999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0.170463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0.170463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FormSampel!G11</f>
        <v>2024100039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FormSampel!I11</f>
        <v>41.956000000000003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4.1956E-2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FormSampel!I12</f>
        <v>29.382999999999999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2.9382999999999999E-2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FormSampel!I13</f>
        <v>16.315999999999999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1.6316000000000001E-2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FormSampel!I14</f>
        <v>476.51299999999998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0.47651299999999996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0.47651299999999996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K19" sqref="K1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FormSampel!G16</f>
        <v>2024100045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FormSampel!I16</f>
        <v>118.624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0.11862399999999999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FormSampel!I17</f>
        <v>22.373999999999999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2.2373999999999998E-2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FormSampel!I18</f>
        <v>15.82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1.5820000000000001E-2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FormSampel!I19</f>
        <v>829.67600000000004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0.82967600000000008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0.82967600000000008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FormSampel!G21</f>
        <v>2024100047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FormSampel!I21</f>
        <v>158.34</v>
      </c>
      <c r="D20" s="30" t="s">
        <v>50</v>
      </c>
      <c r="E20" s="31">
        <v>1000</v>
      </c>
      <c r="F20" s="138" t="s">
        <v>51</v>
      </c>
      <c r="G20" s="139"/>
      <c r="H20" s="140">
        <f>IF(AND(C21&lt;0.15),"&lt;0.15",C21)</f>
        <v>0.15834000000000001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0.15834000000000001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FormSampel!I22</f>
        <v>97.406000000000006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9.7406000000000006E-2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FormSampel!I23</f>
        <v>14.452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1.4452E-2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FormSampel!I24</f>
        <v>818.77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0.81877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0.81877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FormSampel!G26</f>
        <v>2024100069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FormSampel!I26</f>
        <v>149.48599999999999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0.14948599999999998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FormSampel!I27</f>
        <v>64.593999999999994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6.4593999999999999E-2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FormSampel!I28</f>
        <v>7.4790000000000001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7.4790000000000004E-3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FormSampel!I29</f>
        <v>443.49400000000003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0.44349400000000005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0.44349400000000005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FormSampel!G31</f>
        <v>2024100070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FormSampel!I31</f>
        <v>78.132000000000005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7.8132000000000007E-2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FormSampel!I32</f>
        <v>155.345</v>
      </c>
      <c r="D23" s="30" t="s">
        <v>50</v>
      </c>
      <c r="E23" s="36">
        <v>1000</v>
      </c>
      <c r="F23" s="138" t="s">
        <v>51</v>
      </c>
      <c r="G23" s="139"/>
      <c r="H23" s="140">
        <f>IF(C24&lt;0.15,"&lt;0.15",C24)</f>
        <v>0.15534500000000001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0.15534500000000001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FormSampel!I33</f>
        <v>10.478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1.0477999999999999E-2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FormSampel!I34</f>
        <v>1820.421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1.8204210000000001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1.8204210000000001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tabSelected="1" view="pageLayout" topLeftCell="A5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FormSampel!G36</f>
        <v>2024100073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FormSampel!I36</f>
        <v>17.033000000000001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1.7033E-2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FormSampel!I37</f>
        <v>5.5359999999999996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5.5359999999999993E-3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FormSampel!I38</f>
        <v>4.9329999999999998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4.9329999999999999E-3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FormSampel!I39</f>
        <v>121.547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0.121547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FormSampel!G41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FormSampel!I41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FormSampel!I42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FormSampel!I43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FormSampel!I44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FormSampel!G46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FormSampel!I46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FormSampel!I47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FormSampel!I48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FormSampel!I49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1" zoomScale="112" zoomScaleNormal="100" zoomScalePageLayoutView="112" workbookViewId="0">
      <selection activeCell="L31" sqref="L3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FormSampel!G51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FormSampel!I51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FormSampel!I52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FormSampel!I53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FormSampel!I54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  <c r="L31" t="s">
        <v>105</v>
      </c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2" zoomScale="112" zoomScaleNormal="100" zoomScalePageLayoutView="112" workbookViewId="0">
      <selection activeCell="P33" sqref="P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FormSampel!G56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FormSampel!I56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FormSampel!I57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FormSampel!I58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FormSampel!I59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FormSampel!G61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FormSampel!I61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FormSampel!I62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FormSampel!I63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FormSampel!I64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FormSampel!G66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FormSampel!I66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FormSampel!I67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FormSampel!I68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FormSampel!I69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FormSampel!G71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FormSampel!I71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FormSampel!I72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FormSampel!I73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FormSampel!I74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2024-11-01T08:37:51Z</cp:lastPrinted>
  <dcterms:created xsi:type="dcterms:W3CDTF">2006-09-16T00:00:00Z</dcterms:created>
  <dcterms:modified xsi:type="dcterms:W3CDTF">2024-11-01T08:39:33Z</dcterms:modified>
</cp:coreProperties>
</file>