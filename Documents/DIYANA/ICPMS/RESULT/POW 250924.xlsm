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\\10.41.163.98\Users\Gunasama\Documents\DIYANA\ICPMS\RESULT\"/>
    </mc:Choice>
  </mc:AlternateContent>
  <xr:revisionPtr revIDLastSave="0" documentId="13_ncr:1_{BD5B132B-4876-4626-9C07-4EB01B770B0D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0" i="1" l="1"/>
  <c r="C21" i="1" s="1"/>
  <c r="F38" i="26"/>
  <c r="C30" i="1"/>
  <c r="C27" i="1"/>
  <c r="D3" i="1"/>
  <c r="F38" i="1"/>
  <c r="D3" i="36"/>
  <c r="D3" i="35"/>
  <c r="D3" i="34"/>
  <c r="D3" i="33"/>
  <c r="D3" i="32"/>
  <c r="D3" i="29"/>
  <c r="C29" i="24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7" i="31" s="1"/>
  <c r="H26" i="31" s="1"/>
  <c r="C23" i="31"/>
  <c r="C24" i="31" s="1"/>
  <c r="H23" i="31" s="1"/>
  <c r="C20" i="31"/>
  <c r="C21" i="31" s="1"/>
  <c r="H20" i="31" s="1"/>
  <c r="D3" i="31"/>
  <c r="C29" i="30"/>
  <c r="C30" i="30" s="1"/>
  <c r="H29" i="30" s="1"/>
  <c r="C26" i="30"/>
  <c r="C27" i="30" s="1"/>
  <c r="H26" i="30" s="1"/>
  <c r="C23" i="30"/>
  <c r="C24" i="30" s="1"/>
  <c r="H23" i="30" s="1"/>
  <c r="C20" i="30"/>
  <c r="D3" i="30"/>
  <c r="C29" i="29"/>
  <c r="C30" i="29" s="1"/>
  <c r="H29" i="29" s="1"/>
  <c r="C26" i="29"/>
  <c r="C27" i="29" s="1"/>
  <c r="H26" i="29" s="1"/>
  <c r="C23" i="29"/>
  <c r="C24" i="29" s="1"/>
  <c r="H23" i="29" s="1"/>
  <c r="C20" i="29"/>
  <c r="C21" i="29" s="1"/>
  <c r="H20" i="29" s="1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C30" i="26" s="1"/>
  <c r="H29" i="26" s="1"/>
  <c r="C26" i="26"/>
  <c r="C27" i="26" s="1"/>
  <c r="H26" i="26" s="1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H29" i="24"/>
  <c r="C26" i="24"/>
  <c r="H26" i="24" s="1"/>
  <c r="C23" i="24"/>
  <c r="C24" i="24" s="1"/>
  <c r="H23" i="24" s="1"/>
  <c r="C20" i="24"/>
  <c r="H20" i="24" s="1"/>
  <c r="C29" i="23"/>
  <c r="H29" i="23" s="1"/>
  <c r="C26" i="23"/>
  <c r="H26" i="23" s="1"/>
  <c r="C23" i="23"/>
  <c r="C24" i="23" s="1"/>
  <c r="H23" i="23" s="1"/>
  <c r="C20" i="23"/>
  <c r="H20" i="23" s="1"/>
  <c r="D3" i="23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 s="1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 s="1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I18" i="31"/>
  <c r="G18" i="31"/>
  <c r="I17" i="31"/>
  <c r="G17" i="31"/>
  <c r="I16" i="31"/>
  <c r="G16" i="31"/>
  <c r="I15" i="31"/>
  <c r="G15" i="31"/>
  <c r="D4" i="31"/>
  <c r="H38" i="30"/>
  <c r="F38" i="30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I18" i="1"/>
  <c r="I15" i="1"/>
  <c r="I16" i="1"/>
  <c r="I17" i="1"/>
  <c r="G18" i="1"/>
  <c r="G17" i="1"/>
  <c r="G16" i="1"/>
  <c r="G15" i="1"/>
  <c r="H29" i="1" l="1"/>
  <c r="H26" i="1"/>
  <c r="C24" i="1"/>
  <c r="H23" i="1" s="1"/>
  <c r="H20" i="1"/>
</calcChain>
</file>

<file path=xl/sharedStrings.xml><?xml version="1.0" encoding="utf-8"?>
<sst xmlns="http://schemas.openxmlformats.org/spreadsheetml/2006/main" count="1346" uniqueCount="109">
  <si>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</si>
  <si>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</si>
  <si>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</si>
  <si>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</si>
  <si>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</si>
  <si>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</si>
  <si>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</si>
  <si>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</si>
  <si>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</si>
  <si>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</si>
  <si>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</si>
  <si>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</si>
  <si>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</si>
  <si>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</si>
  <si>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</si>
  <si>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</si>
  <si>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</si>
  <si>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</si>
  <si>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</si>
  <si>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</si>
  <si>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</si>
  <si>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</si>
  <si>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</si>
  <si>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</si>
  <si>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</si>
  <si>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</si>
  <si>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</si>
  <si>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</si>
  <si>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</si>
  <si>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</si>
  <si>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</si>
  <si>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</si>
  <si>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</si>
  <si>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</si>
  <si>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</si>
  <si>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</si>
  <si>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</si>
  <si>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</si>
  <si>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</si>
  <si>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</si>
  <si>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</si>
  <si>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</si>
  <si>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</si>
  <si>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</si>
  <si>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</si>
  <si>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</si>
  <si>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</si>
  <si>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</si>
  <si>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</si>
  <si>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</si>
  <si>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</si>
  <si>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</si>
  <si>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</si>
  <si>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</si>
  <si>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</si>
  <si>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</si>
  <si>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</si>
  <si>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</si>
  <si>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</si>
  <si>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</si>
  <si>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</si>
  <si>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</si>
  <si>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</si>
  <si>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</si>
  <si>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</si>
  <si>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</si>
  <si>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</si>
  <si>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</si>
  <si>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</si>
  <si>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</si>
  <si>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</si>
  <si>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</si>
  <si>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</si>
  <si>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</si>
  <si>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</si>
  <si>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</si>
  <si>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</si>
  <si>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</si>
  <si>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</si>
  <si>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</si>
  <si>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</si>
  <si>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</si>
  <si>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</si>
  <si>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</si>
  <si>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</si>
  <si>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</si>
  <si>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</si>
  <si>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</si>
  <si>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</si>
  <si>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</si>
  <si>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</si>
  <si>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</si>
  <si>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</si>
  <si>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</si>
  <si>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</si>
  <si>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</si>
  <si>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</si>
  <si>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</si>
  <si>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</si>
  <si>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</si>
  <si>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</si>
  <si>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</si>
  <si>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</si>
  <si>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</si>
  <si>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 xml:space="preserve">    IQBAL    NORDIYANA    MAISARAH</t>
  </si>
  <si>
    <t>2024080259 BR Cd</t>
  </si>
  <si>
    <t>2024080259 CR Cd</t>
  </si>
  <si>
    <t>011024</t>
  </si>
  <si>
    <t>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</si>
</sst>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"/>
    <numFmt numFmtId="166" formatCode="0.00000"/>
    <numFmt numFmtId="167" formatCode="[$-14409]dd/mm/yyyy;@"/>
    <numFmt numFmtId="168" formatCode="[$-24409]mm/dd/yyyy;@"/>
  </numFmts>
  <fonts count="1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</font>
    <font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B0DD7F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</fills>
  <borders count="45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7">
    <xf numFmtId="0" fontId="0" fillId="0" borderId="0" xfId="0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Border="1"/>
    <xf numFmtId="0" fontId="3" fillId="0" borderId="28" xfId="0" applyFont="1" applyBorder="1"/>
    <xf numFmtId="0" fontId="0" fillId="0" borderId="29" xfId="0" applyBorder="1"/>
    <xf numFmtId="0" fontId="0" fillId="0" borderId="27" xfId="0" applyBorder="1"/>
    <xf numFmtId="0" fontId="3" fillId="0" borderId="28" xfId="0" applyFont="1" applyBorder="1" applyAlignment="1">
      <alignment horizontal="left"/>
    </xf>
    <xf numFmtId="0" fontId="0" fillId="0" borderId="20" xfId="0" applyBorder="1"/>
    <xf numFmtId="14" fontId="0" fillId="0" borderId="18" xfId="0" applyNumberFormat="1" applyBorder="1" applyAlignment="1">
      <alignment horizontal="center"/>
    </xf>
    <xf numFmtId="14" fontId="0" fillId="0" borderId="21" xfId="0" applyNumberFormat="1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3" fillId="0" borderId="35" xfId="0" applyFont="1" applyBorder="1" applyAlignment="1">
      <alignment horizontal="left"/>
    </xf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/>
    <xf numFmtId="0" fontId="14" fillId="5" borderId="30" xfId="0" applyFont="1" applyFill="1" applyBorder="1"/>
    <xf numFmtId="0" fontId="3" fillId="0" borderId="35" xfId="0" applyFont="1" applyBorder="1"/>
    <xf numFmtId="0" fontId="14" fillId="5" borderId="22" xfId="0" applyFont="1" applyFill="1" applyBorder="1"/>
    <xf numFmtId="0" fontId="3" fillId="0" borderId="38" xfId="0" applyFont="1" applyBorder="1"/>
    <xf numFmtId="0" fontId="0" fillId="0" borderId="34" xfId="0" applyBorder="1"/>
    <xf numFmtId="0" fontId="0" fillId="0" borderId="39" xfId="0" applyBorder="1"/>
    <xf numFmtId="0" fontId="0" fillId="0" borderId="38" xfId="0" applyBorder="1"/>
    <xf numFmtId="0" fontId="0" fillId="0" borderId="25" xfId="0" applyBorder="1"/>
    <xf numFmtId="0" fontId="3" fillId="0" borderId="17" xfId="0" applyFont="1" applyBorder="1" applyAlignment="1">
      <alignment horizontal="center"/>
    </xf>
    <xf numFmtId="0" fontId="3" fillId="6" borderId="20" xfId="0" applyFont="1" applyFill="1" applyBorder="1"/>
    <xf numFmtId="0" fontId="15" fillId="0" borderId="0" xfId="0" applyFont="1"/>
    <xf numFmtId="0" fontId="3" fillId="9" borderId="15" xfId="0" applyFont="1" applyFill="1" applyBorder="1"/>
    <xf numFmtId="0" fontId="3" fillId="8" borderId="12" xfId="0" applyFont="1" applyFill="1" applyBorder="1"/>
    <xf numFmtId="0" fontId="3" fillId="10" borderId="12" xfId="0" applyFont="1" applyFill="1" applyBorder="1"/>
    <xf numFmtId="168" fontId="0" fillId="0" borderId="37" xfId="0" applyNumberFormat="1" applyBorder="1"/>
    <xf numFmtId="0" fontId="2" fillId="0" borderId="12" xfId="0" applyFont="1" applyBorder="1"/>
    <xf numFmtId="0" fontId="2" fillId="0" borderId="17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0" xfId="0" applyFont="1"/>
    <xf numFmtId="49" fontId="1" fillId="0" borderId="13" xfId="0" applyNumberFormat="1" applyFont="1" applyBorder="1"/>
    <xf numFmtId="164" fontId="9" fillId="4" borderId="0" xfId="0" applyNumberFormat="1" applyFont="1" applyFill="1" applyAlignment="1">
      <alignment horizontal="left" indent="5"/>
    </xf>
    <xf numFmtId="164" fontId="1" fillId="0" borderId="16" xfId="0" applyNumberFormat="1" applyFont="1" applyBorder="1" applyAlignment="1">
      <alignment horizontal="right"/>
    </xf>
    <xf numFmtId="164" fontId="0" fillId="0" borderId="16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0" fontId="0" fillId="7" borderId="0" xfId="0" applyFill="1" applyAlignment="1">
      <alignment horizontal="center"/>
    </xf>
    <xf numFmtId="0" fontId="0" fillId="7" borderId="40" xfId="0" applyFill="1" applyBorder="1" applyAlignment="1">
      <alignment horizont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4" fillId="5" borderId="41" xfId="0" applyFont="1" applyFill="1" applyBorder="1" applyAlignment="1">
      <alignment horizontal="center" vertical="center"/>
    </xf>
    <xf numFmtId="0" fontId="14" fillId="5" borderId="36" xfId="0" applyFont="1" applyFill="1" applyBorder="1" applyAlignment="1">
      <alignment horizontal="center" vertical="center"/>
    </xf>
    <xf numFmtId="0" fontId="14" fillId="5" borderId="42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17" fillId="0" borderId="43" xfId="0" applyFont="1" applyBorder="1" applyAlignment="1">
      <alignment horizontal="left"/>
    </xf>
    <xf numFmtId="0" fontId="17" fillId="0" borderId="44" xfId="0" applyFont="1" applyBorder="1" applyAlignment="1">
      <alignment horizontal="left"/>
    </xf>
    <xf numFmtId="0" fontId="15" fillId="7" borderId="40" xfId="0" applyFont="1" applyFill="1" applyBorder="1" applyAlignment="1">
      <alignment horizont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4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/>
    <xf numFmtId="165" fontId="12" fillId="0" borderId="1" xfId="0" applyNumberFormat="1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8" fontId="6" fillId="0" borderId="5" xfId="0" applyNumberFormat="1" applyFont="1" applyBorder="1" applyAlignment="1">
      <alignment horizontal="center" vertical="center"/>
    </xf>
    <xf numFmtId="168" fontId="6" fillId="0" borderId="6" xfId="0" applyNumberFormat="1" applyFont="1" applyBorder="1" applyAlignment="1">
      <alignment horizontal="center" vertical="center"/>
    </xf>
    <xf numFmtId="168" fontId="6" fillId="0" borderId="9" xfId="0" applyNumberFormat="1" applyFont="1" applyBorder="1" applyAlignment="1">
      <alignment horizontal="center" vertical="center"/>
    </xf>
    <xf numFmtId="168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  <xf numFmtId="165" fontId="12" fillId="0" borderId="4" xfId="0" applyNumberFormat="1" applyFont="1" applyBorder="1" applyAlignment="1">
      <alignment horizontal="center"/>
    </xf>
    <xf numFmtId="49" fontId="16" fillId="0" borderId="4" xfId="0" applyNumberFormat="1" applyFont="1" applyBorder="1" applyAlignment="1">
      <alignment horizontal="center" vertical="center" shrinkToFit="1"/>
    </xf>
    <xf numFmtId="49" fontId="16" fillId="0" borderId="5" xfId="0" applyNumberFormat="1" applyFont="1" applyBorder="1" applyAlignment="1">
      <alignment horizontal="center" vertical="center" shrinkToFit="1"/>
    </xf>
    <xf numFmtId="49" fontId="16" fillId="0" borderId="11" xfId="0" applyNumberFormat="1" applyFont="1" applyBorder="1" applyAlignment="1">
      <alignment horizontal="center" vertical="center" shrinkToFit="1"/>
    </xf>
    <xf numFmtId="49" fontId="16" fillId="0" borderId="9" xfId="0" applyNumberFormat="1" applyFont="1" applyBorder="1" applyAlignment="1">
      <alignment horizontal="center" vertical="center" shrinkToFit="1"/>
    </xf>
    <xf numFmtId="164" fontId="9" fillId="4" borderId="0" xfId="0" applyNumberFormat="1" applyFont="1" applyFill="1" applyAlignment="1">
      <alignment horizontal="center"/>
    </xf>
  </cellXfs>
  <cellStyles count="1">
    <cellStyle name="Normal" xfId="0" builtinId="0"/>
  </cellStyles>
  <dxfs count="97"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BAE18F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E088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2DE82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7C80"/>
        </patternFill>
      </fill>
    </dxf>
    <dxf>
      <fill>
        <patternFill>
          <bgColor rgb="FFB6DF89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7C80"/>
        </patternFill>
      </fill>
    </dxf>
    <dxf>
      <fill>
        <patternFill>
          <bgColor rgb="FFB4DE86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66FFFF"/>
      <color rgb="FFB0DD7F"/>
      <color rgb="FFB4DE86"/>
      <color rgb="FFFFFF66"/>
      <color rgb="FFFF7C80"/>
      <color rgb="FFB2DE82"/>
      <color rgb="FFBAE18F"/>
      <color rgb="FFB6E088"/>
      <color rgb="FFABDB77"/>
      <color rgb="FFB6DF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0036E-C1E5-4A84-9EED-532B71567F88}">
  <sheetPr codeName="Sheet21"/>
  <dimension ref="A1:L75"/>
  <sheetViews>
    <sheetView zoomScale="130" zoomScaleNormal="130" workbookViewId="0">
      <selection activeCell="B19" sqref="B19:C19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customWidth="1"/>
    <col min="5" max="5" width="2.7109375" customWidth="1"/>
    <col min="6" max="6" width="10.42578125" bestFit="1" customWidth="1"/>
    <col min="7" max="7" width="15.7109375" style="72" bestFit="1" customWidth="1"/>
    <col min="9" max="9" width="13.28515625" style="77" customWidth="1"/>
    <col min="10" max="10" width="2.7109375" customWidth="1"/>
  </cols>
  <sheetData>
    <row r="1" spans="1:10" ht="15.75" customHeight="1" thickBot="1" x14ac:dyDescent="0.3">
      <c r="E1" s="78"/>
      <c r="F1" s="85" t="s">
        <v>89</v>
      </c>
      <c r="G1" s="82">
        <v>2024080259</v>
      </c>
      <c r="H1" s="65" t="s">
        <v>72</v>
      </c>
      <c r="I1" s="75">
        <v>100.54600000000001</v>
      </c>
      <c r="J1" s="78"/>
    </row>
    <row r="2" spans="1:10" ht="15.75" customHeight="1" thickBot="1" x14ac:dyDescent="0.3">
      <c r="A2" s="54" t="s">
        <v>3</v>
      </c>
      <c r="B2" s="73" t="s">
        <v>107</v>
      </c>
      <c r="E2" s="78"/>
      <c r="F2" s="86"/>
      <c r="G2" s="83"/>
      <c r="H2" s="66" t="s">
        <v>80</v>
      </c>
      <c r="I2" s="76">
        <v>375.43900000000002</v>
      </c>
      <c r="J2" s="78"/>
    </row>
    <row r="3" spans="1:10" ht="15" customHeight="1" thickBot="1" x14ac:dyDescent="0.3">
      <c r="A3" s="53" t="s">
        <v>63</v>
      </c>
      <c r="B3" s="57" t="s">
        <v>65</v>
      </c>
      <c r="E3" s="78"/>
      <c r="F3" s="86"/>
      <c r="G3" s="83"/>
      <c r="H3" s="67" t="s">
        <v>14</v>
      </c>
      <c r="I3" s="75">
        <v>24.47</v>
      </c>
      <c r="J3" s="78"/>
    </row>
    <row r="4" spans="1:10" ht="15.75" customHeight="1" thickBot="1" x14ac:dyDescent="0.3">
      <c r="A4" s="55" t="s">
        <v>64</v>
      </c>
      <c r="B4" s="41" t="b">
        <v>0</v>
      </c>
      <c r="E4" s="78"/>
      <c r="F4" s="87"/>
      <c r="G4" s="84"/>
      <c r="H4" s="63" t="s">
        <v>73</v>
      </c>
      <c r="I4" s="75">
        <v>566.71400000000006</v>
      </c>
      <c r="J4" s="78"/>
    </row>
    <row r="5" spans="1:10" ht="15.75" thickBot="1" x14ac:dyDescent="0.3">
      <c r="A5" s="42" t="s">
        <v>66</v>
      </c>
      <c r="B5" s="59" t="b">
        <v>1</v>
      </c>
      <c r="E5" s="78"/>
      <c r="F5" s="79"/>
      <c r="G5" s="79"/>
      <c r="H5" s="79"/>
      <c r="I5" s="79"/>
      <c r="J5" s="78"/>
    </row>
    <row r="6" spans="1:10" ht="15.75" thickBot="1" x14ac:dyDescent="0.3">
      <c r="A6" s="56" t="s">
        <v>67</v>
      </c>
      <c r="B6" s="61"/>
      <c r="E6" s="78"/>
      <c r="F6" s="85" t="s">
        <v>90</v>
      </c>
      <c r="G6" s="82" t="s">
        <v>105</v>
      </c>
      <c r="H6" s="65" t="s">
        <v>72</v>
      </c>
      <c r="I6" s="75" t="s">
        <v>108</v>
      </c>
      <c r="J6" s="78"/>
    </row>
    <row r="7" spans="1:10" ht="15.75" thickBot="1" x14ac:dyDescent="0.3">
      <c r="A7" s="55" t="s">
        <v>68</v>
      </c>
      <c r="B7" s="58" t="b">
        <v>1</v>
      </c>
      <c r="E7" s="78"/>
      <c r="F7" s="86"/>
      <c r="G7" s="83"/>
      <c r="H7" s="66" t="s">
        <v>80</v>
      </c>
      <c r="I7" s="76">
        <v>378.50400000000002</v>
      </c>
      <c r="J7" s="78"/>
    </row>
    <row r="8" spans="1:10" ht="15.75" thickBot="1" x14ac:dyDescent="0.3">
      <c r="A8" s="42" t="s">
        <v>88</v>
      </c>
      <c r="B8" s="59" t="b">
        <v>0</v>
      </c>
      <c r="E8" s="78"/>
      <c r="F8" s="86"/>
      <c r="G8" s="83"/>
      <c r="H8" s="67" t="s">
        <v>14</v>
      </c>
      <c r="I8" s="75" t="s">
        <v>108</v>
      </c>
      <c r="J8" s="78"/>
    </row>
    <row r="9" spans="1:10" ht="15.75" thickBot="1" x14ac:dyDescent="0.3">
      <c r="A9" s="56" t="s">
        <v>69</v>
      </c>
      <c r="B9" s="60"/>
      <c r="E9" s="78"/>
      <c r="F9" s="87"/>
      <c r="G9" s="84"/>
      <c r="H9" s="63" t="s">
        <v>73</v>
      </c>
      <c r="I9" s="75" t="s">
        <v>108</v>
      </c>
      <c r="J9" s="78"/>
    </row>
    <row r="10" spans="1:10" ht="15.75" thickBot="1" x14ac:dyDescent="0.3">
      <c r="A10" s="55" t="s">
        <v>70</v>
      </c>
      <c r="B10" s="58" t="b">
        <v>1</v>
      </c>
      <c r="E10" s="78"/>
      <c r="F10" s="79"/>
      <c r="G10" s="79"/>
      <c r="H10" s="79"/>
      <c r="I10" s="79"/>
      <c r="J10" s="78"/>
    </row>
    <row r="11" spans="1:10" ht="15.75" customHeight="1" thickBot="1" x14ac:dyDescent="0.3">
      <c r="A11" s="44" t="s">
        <v>71</v>
      </c>
      <c r="B11" s="59" t="b">
        <v>0</v>
      </c>
      <c r="E11" s="78"/>
      <c r="F11" s="85" t="s">
        <v>91</v>
      </c>
      <c r="G11" s="82" t="s">
        <v>106</v>
      </c>
      <c r="H11" s="65" t="s">
        <v>72</v>
      </c>
      <c r="I11" s="75" t="s">
        <v>108</v>
      </c>
      <c r="J11" s="78"/>
    </row>
    <row r="12" spans="1:10" ht="15" customHeight="1" thickBot="1" x14ac:dyDescent="0.3">
      <c r="A12" s="80" t="s">
        <v>42</v>
      </c>
      <c r="B12" s="88" t="s">
        <v>78</v>
      </c>
      <c r="C12" s="90" t="s">
        <v>79</v>
      </c>
      <c r="E12" s="78"/>
      <c r="F12" s="86"/>
      <c r="G12" s="83"/>
      <c r="H12" s="66" t="s">
        <v>80</v>
      </c>
      <c r="I12" s="76">
        <v>377.625</v>
      </c>
      <c r="J12" s="78"/>
    </row>
    <row r="13" spans="1:10" ht="15" customHeight="1" thickBot="1" x14ac:dyDescent="0.3">
      <c r="A13" s="81"/>
      <c r="B13" s="89"/>
      <c r="C13" s="91"/>
      <c r="E13" s="78"/>
      <c r="F13" s="86"/>
      <c r="G13" s="83"/>
      <c r="H13" s="67" t="s">
        <v>14</v>
      </c>
      <c r="I13" s="75" t="s">
        <v>108</v>
      </c>
      <c r="J13" s="78"/>
    </row>
    <row r="14" spans="1:10" ht="15.75" customHeight="1" thickBot="1" x14ac:dyDescent="0.3">
      <c r="A14" s="62" t="s">
        <v>72</v>
      </c>
      <c r="B14" s="41" t="s">
        <v>81</v>
      </c>
      <c r="C14" s="47">
        <v>45808</v>
      </c>
      <c r="E14" s="78"/>
      <c r="F14" s="87"/>
      <c r="G14" s="84"/>
      <c r="H14" s="63" t="s">
        <v>73</v>
      </c>
      <c r="I14" s="75" t="s">
        <v>108</v>
      </c>
      <c r="J14" s="78"/>
    </row>
    <row r="15" spans="1:10" ht="15.75" thickBot="1" x14ac:dyDescent="0.3">
      <c r="A15" s="70" t="s">
        <v>14</v>
      </c>
      <c r="B15" s="69" t="s">
        <v>82</v>
      </c>
      <c r="C15" s="47">
        <v>45716</v>
      </c>
      <c r="E15" s="78"/>
      <c r="F15" s="79"/>
      <c r="G15" s="79"/>
      <c r="H15" s="79"/>
      <c r="I15" s="79"/>
      <c r="J15" s="78"/>
    </row>
    <row r="16" spans="1:10" ht="15" customHeight="1" thickBot="1" x14ac:dyDescent="0.3">
      <c r="A16" s="70" t="s">
        <v>73</v>
      </c>
      <c r="B16" s="41" t="s">
        <v>83</v>
      </c>
      <c r="C16" s="47">
        <v>45688</v>
      </c>
      <c r="E16" s="78"/>
      <c r="F16" s="85" t="s">
        <v>92</v>
      </c>
      <c r="G16" s="92">
        <v>2024090034</v>
      </c>
      <c r="H16" s="65" t="s">
        <v>72</v>
      </c>
      <c r="I16" s="76">
        <v>3.7410000000000001</v>
      </c>
      <c r="J16" s="78"/>
    </row>
    <row r="17" spans="1:10" ht="15.75" customHeight="1" thickBot="1" x14ac:dyDescent="0.3">
      <c r="A17" s="71" t="s">
        <v>80</v>
      </c>
      <c r="B17" s="46" t="s">
        <v>84</v>
      </c>
      <c r="C17" s="48">
        <v>46142</v>
      </c>
      <c r="E17" s="78"/>
      <c r="F17" s="86"/>
      <c r="G17" s="83"/>
      <c r="H17" s="66" t="s">
        <v>80</v>
      </c>
      <c r="I17" s="76">
        <v>3.2959999999999998</v>
      </c>
      <c r="J17" s="78"/>
    </row>
    <row r="18" spans="1:10" ht="15" customHeight="1" thickBot="1" x14ac:dyDescent="0.3">
      <c r="A18" s="52" t="s">
        <v>85</v>
      </c>
      <c r="B18" s="49"/>
      <c r="C18" s="50"/>
      <c r="E18" s="78"/>
      <c r="F18" s="86"/>
      <c r="G18" s="83"/>
      <c r="H18" s="67" t="s">
        <v>14</v>
      </c>
      <c r="I18" s="76">
        <v>2.1280000000000001</v>
      </c>
      <c r="J18" s="78"/>
    </row>
    <row r="19" spans="1:10" ht="15.75" customHeight="1" thickBot="1" x14ac:dyDescent="0.35">
      <c r="A19" s="51" t="s">
        <v>86</v>
      </c>
      <c r="B19" s="96" t="s">
        <v>104</v>
      </c>
      <c r="C19" s="97"/>
      <c r="E19" s="78"/>
      <c r="F19" s="87"/>
      <c r="G19" s="84"/>
      <c r="H19" s="63" t="s">
        <v>73</v>
      </c>
      <c r="I19" s="76">
        <v>75.923000000000002</v>
      </c>
      <c r="J19" s="78"/>
    </row>
    <row r="20" spans="1:10" ht="15.75" thickBot="1" x14ac:dyDescent="0.3">
      <c r="A20" s="45" t="s">
        <v>87</v>
      </c>
      <c r="B20" s="68">
        <v>45301</v>
      </c>
      <c r="C20" s="43"/>
      <c r="E20" s="78"/>
      <c r="F20" s="79"/>
      <c r="G20" s="79"/>
      <c r="H20" s="79"/>
      <c r="I20" s="79"/>
      <c r="J20" s="78"/>
    </row>
    <row r="21" spans="1:10" ht="15" customHeight="1" thickBot="1" x14ac:dyDescent="0.3">
      <c r="E21" s="78"/>
      <c r="F21" s="93" t="s">
        <v>93</v>
      </c>
      <c r="G21" s="92">
        <v>2024080259</v>
      </c>
      <c r="H21" s="65" t="s">
        <v>72</v>
      </c>
      <c r="I21" s="76">
        <v>100.54600000000001</v>
      </c>
      <c r="J21" s="78"/>
    </row>
    <row r="22" spans="1:10" ht="15" customHeight="1" thickBot="1" x14ac:dyDescent="0.3">
      <c r="E22" s="78"/>
      <c r="F22" s="94"/>
      <c r="G22" s="83"/>
      <c r="H22" s="66" t="s">
        <v>80</v>
      </c>
      <c r="I22" s="76">
        <v>375.43900000000002</v>
      </c>
      <c r="J22" s="78"/>
    </row>
    <row r="23" spans="1:10" ht="15" customHeight="1" thickBot="1" x14ac:dyDescent="0.3">
      <c r="E23" s="78"/>
      <c r="F23" s="94"/>
      <c r="G23" s="83"/>
      <c r="H23" s="67" t="s">
        <v>14</v>
      </c>
      <c r="I23" s="76">
        <v>24.27</v>
      </c>
      <c r="J23" s="78"/>
    </row>
    <row r="24" spans="1:10" ht="15.75" customHeight="1" thickBot="1" x14ac:dyDescent="0.3">
      <c r="E24" s="78"/>
      <c r="F24" s="95"/>
      <c r="G24" s="84"/>
      <c r="H24" s="63" t="s">
        <v>73</v>
      </c>
      <c r="I24" s="76">
        <v>566.71400000000006</v>
      </c>
      <c r="J24" s="78"/>
    </row>
    <row r="25" spans="1:10" ht="15.75" thickBot="1" x14ac:dyDescent="0.3">
      <c r="E25" s="78"/>
      <c r="F25" s="79"/>
      <c r="G25" s="79"/>
      <c r="H25" s="79"/>
      <c r="I25" s="79"/>
      <c r="J25" s="78"/>
    </row>
    <row r="26" spans="1:10" ht="15" customHeight="1" thickBot="1" x14ac:dyDescent="0.3">
      <c r="E26" s="78"/>
      <c r="F26" s="85" t="s">
        <v>94</v>
      </c>
      <c r="G26" s="92"/>
      <c r="H26" s="65" t="s">
        <v>72</v>
      </c>
      <c r="I26" s="76"/>
      <c r="J26" s="78"/>
    </row>
    <row r="27" spans="1:10" ht="15" customHeight="1" thickBot="1" x14ac:dyDescent="0.3">
      <c r="E27" s="78"/>
      <c r="F27" s="86"/>
      <c r="G27" s="83"/>
      <c r="H27" s="66" t="s">
        <v>80</v>
      </c>
      <c r="I27" s="76"/>
      <c r="J27" s="78"/>
    </row>
    <row r="28" spans="1:10" ht="15" customHeight="1" thickBot="1" x14ac:dyDescent="0.3">
      <c r="E28" s="78"/>
      <c r="F28" s="86"/>
      <c r="G28" s="83"/>
      <c r="H28" s="67" t="s">
        <v>14</v>
      </c>
      <c r="I28" s="76"/>
      <c r="J28" s="78"/>
    </row>
    <row r="29" spans="1:10" ht="15.75" customHeight="1" thickBot="1" x14ac:dyDescent="0.3">
      <c r="E29" s="78"/>
      <c r="F29" s="87"/>
      <c r="G29" s="84"/>
      <c r="H29" s="63" t="s">
        <v>73</v>
      </c>
      <c r="I29" s="76"/>
      <c r="J29" s="78"/>
    </row>
    <row r="30" spans="1:10" ht="15.75" thickBot="1" x14ac:dyDescent="0.3">
      <c r="E30" s="78"/>
      <c r="F30" s="79"/>
      <c r="G30" s="79"/>
      <c r="H30" s="79"/>
      <c r="I30" s="79"/>
      <c r="J30" s="78"/>
    </row>
    <row r="31" spans="1:10" ht="15" customHeight="1" thickBot="1" x14ac:dyDescent="0.3">
      <c r="E31" s="78"/>
      <c r="F31" s="85" t="s">
        <v>95</v>
      </c>
      <c r="G31" s="92"/>
      <c r="H31" s="65" t="s">
        <v>72</v>
      </c>
      <c r="I31" s="76"/>
      <c r="J31" s="78"/>
    </row>
    <row r="32" spans="1:10" ht="15" customHeight="1" thickBot="1" x14ac:dyDescent="0.3">
      <c r="E32" s="78"/>
      <c r="F32" s="86"/>
      <c r="G32" s="83"/>
      <c r="H32" s="66" t="s">
        <v>80</v>
      </c>
      <c r="I32" s="76"/>
      <c r="J32" s="78"/>
    </row>
    <row r="33" spans="5:10" ht="15" customHeight="1" thickBot="1" x14ac:dyDescent="0.3">
      <c r="E33" s="78"/>
      <c r="F33" s="86"/>
      <c r="G33" s="83"/>
      <c r="H33" s="67" t="s">
        <v>14</v>
      </c>
      <c r="I33" s="76"/>
      <c r="J33" s="78"/>
    </row>
    <row r="34" spans="5:10" ht="15.75" customHeight="1" thickBot="1" x14ac:dyDescent="0.3">
      <c r="E34" s="78"/>
      <c r="F34" s="87"/>
      <c r="G34" s="84"/>
      <c r="H34" s="63" t="s">
        <v>73</v>
      </c>
      <c r="I34" s="76"/>
      <c r="J34" s="78"/>
    </row>
    <row r="35" spans="5:10" ht="15.75" thickBot="1" x14ac:dyDescent="0.3">
      <c r="E35" s="78"/>
      <c r="F35" s="79"/>
      <c r="G35" s="79"/>
      <c r="H35" s="79"/>
      <c r="I35" s="79"/>
      <c r="J35" s="78"/>
    </row>
    <row r="36" spans="5:10" ht="15" customHeight="1" thickBot="1" x14ac:dyDescent="0.3">
      <c r="E36" s="78"/>
      <c r="F36" s="85" t="s">
        <v>96</v>
      </c>
      <c r="G36" s="92"/>
      <c r="H36" s="65" t="s">
        <v>72</v>
      </c>
      <c r="I36" s="76"/>
      <c r="J36" s="78"/>
    </row>
    <row r="37" spans="5:10" ht="15" customHeight="1" thickBot="1" x14ac:dyDescent="0.3">
      <c r="E37" s="78"/>
      <c r="F37" s="86"/>
      <c r="G37" s="83"/>
      <c r="H37" s="66" t="s">
        <v>80</v>
      </c>
      <c r="I37" s="76"/>
      <c r="J37" s="78"/>
    </row>
    <row r="38" spans="5:10" ht="15" customHeight="1" thickBot="1" x14ac:dyDescent="0.3">
      <c r="E38" s="78"/>
      <c r="F38" s="86"/>
      <c r="G38" s="83"/>
      <c r="H38" s="67" t="s">
        <v>14</v>
      </c>
      <c r="I38" s="76"/>
      <c r="J38" s="78"/>
    </row>
    <row r="39" spans="5:10" ht="15.75" customHeight="1" thickBot="1" x14ac:dyDescent="0.3">
      <c r="E39" s="78"/>
      <c r="F39" s="87"/>
      <c r="G39" s="84"/>
      <c r="H39" s="63" t="s">
        <v>73</v>
      </c>
      <c r="I39" s="76"/>
      <c r="J39" s="78"/>
    </row>
    <row r="40" spans="5:10" ht="15.75" thickBot="1" x14ac:dyDescent="0.3">
      <c r="E40" s="78"/>
      <c r="F40" s="79"/>
      <c r="G40" s="79"/>
      <c r="H40" s="79"/>
      <c r="I40" s="79"/>
      <c r="J40" s="78"/>
    </row>
    <row r="41" spans="5:10" ht="15" customHeight="1" thickBot="1" x14ac:dyDescent="0.3">
      <c r="E41" s="78"/>
      <c r="F41" s="85" t="s">
        <v>97</v>
      </c>
      <c r="G41" s="92"/>
      <c r="H41" s="65" t="s">
        <v>72</v>
      </c>
      <c r="I41" s="76"/>
      <c r="J41" s="78"/>
    </row>
    <row r="42" spans="5:10" ht="15" customHeight="1" thickBot="1" x14ac:dyDescent="0.3">
      <c r="E42" s="78"/>
      <c r="F42" s="86"/>
      <c r="G42" s="83"/>
      <c r="H42" s="66" t="s">
        <v>80</v>
      </c>
      <c r="I42" s="76"/>
      <c r="J42" s="78"/>
    </row>
    <row r="43" spans="5:10" ht="15" customHeight="1" thickBot="1" x14ac:dyDescent="0.3">
      <c r="E43" s="78"/>
      <c r="F43" s="86"/>
      <c r="G43" s="83"/>
      <c r="H43" s="67" t="s">
        <v>14</v>
      </c>
      <c r="I43" s="76"/>
      <c r="J43" s="78"/>
    </row>
    <row r="44" spans="5:10" ht="15.75" customHeight="1" thickBot="1" x14ac:dyDescent="0.3">
      <c r="E44" s="78"/>
      <c r="F44" s="87"/>
      <c r="G44" s="84"/>
      <c r="H44" s="63" t="s">
        <v>73</v>
      </c>
      <c r="I44" s="76"/>
      <c r="J44" s="78"/>
    </row>
    <row r="45" spans="5:10" ht="15.75" thickBot="1" x14ac:dyDescent="0.3">
      <c r="E45" s="78"/>
      <c r="F45" s="79"/>
      <c r="G45" s="79"/>
      <c r="H45" s="79"/>
      <c r="I45" s="79"/>
      <c r="J45" s="78"/>
    </row>
    <row r="46" spans="5:10" ht="15" customHeight="1" thickBot="1" x14ac:dyDescent="0.3">
      <c r="E46" s="78"/>
      <c r="F46" s="85" t="s">
        <v>98</v>
      </c>
      <c r="G46" s="92"/>
      <c r="H46" s="65" t="s">
        <v>72</v>
      </c>
      <c r="I46" s="76"/>
      <c r="J46" s="78"/>
    </row>
    <row r="47" spans="5:10" ht="15" customHeight="1" thickBot="1" x14ac:dyDescent="0.3">
      <c r="E47" s="78"/>
      <c r="F47" s="86"/>
      <c r="G47" s="83"/>
      <c r="H47" s="66" t="s">
        <v>80</v>
      </c>
      <c r="I47" s="76"/>
      <c r="J47" s="78"/>
    </row>
    <row r="48" spans="5:10" ht="15" customHeight="1" thickBot="1" x14ac:dyDescent="0.3">
      <c r="E48" s="78"/>
      <c r="F48" s="86"/>
      <c r="G48" s="83"/>
      <c r="H48" s="67" t="s">
        <v>14</v>
      </c>
      <c r="I48" s="76"/>
      <c r="J48" s="78"/>
    </row>
    <row r="49" spans="5:12" ht="15.75" customHeight="1" thickBot="1" x14ac:dyDescent="0.3">
      <c r="E49" s="78"/>
      <c r="F49" s="87"/>
      <c r="G49" s="84"/>
      <c r="H49" s="63" t="s">
        <v>73</v>
      </c>
      <c r="I49" s="76"/>
      <c r="J49" s="78"/>
    </row>
    <row r="50" spans="5:12" ht="15.75" thickBot="1" x14ac:dyDescent="0.3">
      <c r="E50" s="78"/>
      <c r="F50" s="98"/>
      <c r="G50" s="98"/>
      <c r="H50" s="98"/>
      <c r="I50" s="98"/>
      <c r="J50" s="78"/>
      <c r="K50" s="64"/>
      <c r="L50" s="64"/>
    </row>
    <row r="51" spans="5:12" ht="15" customHeight="1" thickBot="1" x14ac:dyDescent="0.3">
      <c r="E51" s="78"/>
      <c r="F51" s="85" t="s">
        <v>99</v>
      </c>
      <c r="G51" s="92"/>
      <c r="H51" s="65" t="s">
        <v>72</v>
      </c>
      <c r="I51" s="76"/>
      <c r="J51" s="78"/>
    </row>
    <row r="52" spans="5:12" ht="15" customHeight="1" thickBot="1" x14ac:dyDescent="0.3">
      <c r="E52" s="78"/>
      <c r="F52" s="86"/>
      <c r="G52" s="83"/>
      <c r="H52" s="66" t="s">
        <v>80</v>
      </c>
      <c r="I52" s="76"/>
      <c r="J52" s="78"/>
    </row>
    <row r="53" spans="5:12" ht="15" customHeight="1" thickBot="1" x14ac:dyDescent="0.3">
      <c r="E53" s="78"/>
      <c r="F53" s="86"/>
      <c r="G53" s="83"/>
      <c r="H53" s="67" t="s">
        <v>14</v>
      </c>
      <c r="I53" s="76"/>
      <c r="J53" s="78"/>
    </row>
    <row r="54" spans="5:12" ht="15.75" customHeight="1" thickBot="1" x14ac:dyDescent="0.3">
      <c r="E54" s="78"/>
      <c r="F54" s="87"/>
      <c r="G54" s="84"/>
      <c r="H54" s="63" t="s">
        <v>73</v>
      </c>
      <c r="I54" s="76"/>
      <c r="J54" s="78"/>
    </row>
    <row r="55" spans="5:12" ht="15.75" thickBot="1" x14ac:dyDescent="0.3">
      <c r="E55" s="78"/>
      <c r="F55" s="79"/>
      <c r="G55" s="79"/>
      <c r="H55" s="79"/>
      <c r="I55" s="79"/>
      <c r="J55" s="78"/>
    </row>
    <row r="56" spans="5:12" ht="15" customHeight="1" thickBot="1" x14ac:dyDescent="0.3">
      <c r="E56" s="78"/>
      <c r="F56" s="85" t="s">
        <v>100</v>
      </c>
      <c r="G56" s="92"/>
      <c r="H56" s="65" t="s">
        <v>72</v>
      </c>
      <c r="I56" s="76"/>
      <c r="J56" s="78"/>
    </row>
    <row r="57" spans="5:12" ht="15" customHeight="1" thickBot="1" x14ac:dyDescent="0.3">
      <c r="E57" s="78"/>
      <c r="F57" s="86"/>
      <c r="G57" s="83"/>
      <c r="H57" s="66" t="s">
        <v>80</v>
      </c>
      <c r="I57" s="76"/>
      <c r="J57" s="78"/>
    </row>
    <row r="58" spans="5:12" ht="15" customHeight="1" thickBot="1" x14ac:dyDescent="0.3">
      <c r="E58" s="78"/>
      <c r="F58" s="86"/>
      <c r="G58" s="83"/>
      <c r="H58" s="67" t="s">
        <v>14</v>
      </c>
      <c r="I58" s="76"/>
      <c r="J58" s="78"/>
    </row>
    <row r="59" spans="5:12" ht="15.75" customHeight="1" thickBot="1" x14ac:dyDescent="0.3">
      <c r="E59" s="78"/>
      <c r="F59" s="87"/>
      <c r="G59" s="84"/>
      <c r="H59" s="63" t="s">
        <v>73</v>
      </c>
      <c r="I59" s="76"/>
      <c r="J59" s="78"/>
    </row>
    <row r="60" spans="5:12" ht="15.75" thickBot="1" x14ac:dyDescent="0.3">
      <c r="E60" s="78"/>
      <c r="F60" s="79"/>
      <c r="G60" s="79"/>
      <c r="H60" s="79"/>
      <c r="I60" s="79"/>
      <c r="J60" s="78"/>
    </row>
    <row r="61" spans="5:12" ht="15" customHeight="1" thickBot="1" x14ac:dyDescent="0.3">
      <c r="E61" s="78"/>
      <c r="F61" s="85" t="s">
        <v>101</v>
      </c>
      <c r="G61" s="92"/>
      <c r="H61" s="65" t="s">
        <v>72</v>
      </c>
      <c r="I61" s="76"/>
      <c r="J61" s="78"/>
    </row>
    <row r="62" spans="5:12" ht="15" customHeight="1" thickBot="1" x14ac:dyDescent="0.3">
      <c r="E62" s="78"/>
      <c r="F62" s="86"/>
      <c r="G62" s="83"/>
      <c r="H62" s="66" t="s">
        <v>80</v>
      </c>
      <c r="I62" s="76"/>
      <c r="J62" s="78"/>
    </row>
    <row r="63" spans="5:12" ht="15" customHeight="1" thickBot="1" x14ac:dyDescent="0.3">
      <c r="E63" s="78"/>
      <c r="F63" s="86"/>
      <c r="G63" s="83"/>
      <c r="H63" s="67" t="s">
        <v>14</v>
      </c>
      <c r="I63" s="76"/>
      <c r="J63" s="78"/>
    </row>
    <row r="64" spans="5:12" ht="15.75" customHeight="1" thickBot="1" x14ac:dyDescent="0.3">
      <c r="E64" s="78"/>
      <c r="F64" s="87"/>
      <c r="G64" s="84"/>
      <c r="H64" s="63" t="s">
        <v>73</v>
      </c>
      <c r="I64" s="76"/>
      <c r="J64" s="78"/>
    </row>
    <row r="65" spans="5:10" ht="15.75" thickBot="1" x14ac:dyDescent="0.3">
      <c r="E65" s="78"/>
      <c r="F65" s="79"/>
      <c r="G65" s="79"/>
      <c r="H65" s="79"/>
      <c r="I65" s="79"/>
      <c r="J65" s="78"/>
    </row>
    <row r="66" spans="5:10" ht="15" customHeight="1" thickBot="1" x14ac:dyDescent="0.3">
      <c r="E66" s="78"/>
      <c r="F66" s="85" t="s">
        <v>102</v>
      </c>
      <c r="G66" s="92"/>
      <c r="H66" s="65" t="s">
        <v>72</v>
      </c>
      <c r="I66" s="76"/>
      <c r="J66" s="78"/>
    </row>
    <row r="67" spans="5:10" ht="15" customHeight="1" thickBot="1" x14ac:dyDescent="0.3">
      <c r="E67" s="78"/>
      <c r="F67" s="86"/>
      <c r="G67" s="83"/>
      <c r="H67" s="66" t="s">
        <v>80</v>
      </c>
      <c r="I67" s="76"/>
      <c r="J67" s="78"/>
    </row>
    <row r="68" spans="5:10" ht="15" customHeight="1" thickBot="1" x14ac:dyDescent="0.3">
      <c r="E68" s="78"/>
      <c r="F68" s="86"/>
      <c r="G68" s="83"/>
      <c r="H68" s="67" t="s">
        <v>14</v>
      </c>
      <c r="I68" s="76"/>
      <c r="J68" s="78"/>
    </row>
    <row r="69" spans="5:10" ht="15.75" customHeight="1" thickBot="1" x14ac:dyDescent="0.3">
      <c r="E69" s="78"/>
      <c r="F69" s="87"/>
      <c r="G69" s="84"/>
      <c r="H69" s="63" t="s">
        <v>73</v>
      </c>
      <c r="I69" s="76"/>
      <c r="J69" s="78"/>
    </row>
    <row r="70" spans="5:10" ht="15.75" thickBot="1" x14ac:dyDescent="0.3">
      <c r="E70" s="78"/>
      <c r="F70" s="79"/>
      <c r="G70" s="79"/>
      <c r="H70" s="79"/>
      <c r="I70" s="79"/>
      <c r="J70" s="78"/>
    </row>
    <row r="71" spans="5:10" ht="15" customHeight="1" thickBot="1" x14ac:dyDescent="0.3">
      <c r="E71" s="78"/>
      <c r="F71" s="85" t="s">
        <v>103</v>
      </c>
      <c r="G71" s="92"/>
      <c r="H71" s="65" t="s">
        <v>72</v>
      </c>
      <c r="I71" s="76"/>
      <c r="J71" s="78"/>
    </row>
    <row r="72" spans="5:10" ht="15" customHeight="1" thickBot="1" x14ac:dyDescent="0.3">
      <c r="E72" s="78"/>
      <c r="F72" s="86"/>
      <c r="G72" s="83"/>
      <c r="H72" s="66" t="s">
        <v>80</v>
      </c>
      <c r="I72" s="76"/>
      <c r="J72" s="78"/>
    </row>
    <row r="73" spans="5:10" ht="15" customHeight="1" thickBot="1" x14ac:dyDescent="0.3">
      <c r="E73" s="78"/>
      <c r="F73" s="86"/>
      <c r="G73" s="83"/>
      <c r="H73" s="67" t="s">
        <v>14</v>
      </c>
      <c r="I73" s="76"/>
      <c r="J73" s="78"/>
    </row>
    <row r="74" spans="5:10" ht="15.75" customHeight="1" thickBot="1" x14ac:dyDescent="0.3">
      <c r="E74" s="78"/>
      <c r="F74" s="87"/>
      <c r="G74" s="84"/>
      <c r="H74" s="63" t="s">
        <v>73</v>
      </c>
      <c r="I74" s="76"/>
      <c r="J74" s="78"/>
    </row>
    <row r="75" spans="5:10" x14ac:dyDescent="0.25">
      <c r="E75" s="78"/>
      <c r="F75" s="78"/>
      <c r="G75" s="78"/>
      <c r="H75" s="78"/>
      <c r="I75" s="78"/>
      <c r="J75" s="78"/>
    </row>
  </sheetData>
  <mergeCells count="51"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  <mergeCell ref="G31:G34"/>
    <mergeCell ref="F36:F39"/>
    <mergeCell ref="G36:G39"/>
    <mergeCell ref="F41:F44"/>
    <mergeCell ref="G41:G44"/>
    <mergeCell ref="F31:F3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B19:C19"/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G26:G29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2">
    <dataValidation type="list" allowBlank="1" showInputMessage="1" showErrorMessage="1" sqref="B11 B5 B7" xr:uid="{2C910534-D672-4BED-A0C2-857ABA2996F3}">
      <formula1>"Sila Pilih, TRUE,FALSE"</formula1>
    </dataValidation>
    <dataValidation type="list" allowBlank="1" showInputMessage="1" showErrorMessage="1" sqref="B4 B8 B10" xr:uid="{6E09E8F8-156D-4273-A18F-08791918021B}">
      <formula1>"Sila Pilih,TRUE,FALSE"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9" zoomScale="112" zoomScaleNormal="100" zoomScalePageLayoutView="112" workbookViewId="0">
      <selection activeCell="C29" activeCellId="3" sqref="C20 C23 C26 C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8.710937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FormSampel!G1</f>
        <v>2024080259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011024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26"/>
      <c r="C7" s="137" t="s">
        <v>7</v>
      </c>
      <c r="D7" s="126"/>
      <c r="E7" s="126"/>
      <c r="F7" s="2" t="s">
        <v>8</v>
      </c>
      <c r="G7" s="125" t="s">
        <v>9</v>
      </c>
      <c r="H7" s="126"/>
      <c r="I7" s="126"/>
      <c r="J7" s="127"/>
    </row>
    <row r="8" spans="1:26" ht="15" customHeight="1" x14ac:dyDescent="0.25">
      <c r="A8" s="138" t="s">
        <v>10</v>
      </c>
      <c r="B8" s="119"/>
      <c r="C8" s="139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28"/>
      <c r="J8" s="129"/>
    </row>
    <row r="9" spans="1:26" ht="30" customHeight="1" x14ac:dyDescent="0.25">
      <c r="A9" s="140" t="s">
        <v>15</v>
      </c>
      <c r="B9" s="119"/>
      <c r="C9" s="139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8" t="s">
        <v>20</v>
      </c>
      <c r="B10" s="119"/>
      <c r="C10" s="139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0" t="s">
        <v>25</v>
      </c>
      <c r="B11" s="119"/>
      <c r="C11" s="14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8" t="s">
        <v>30</v>
      </c>
      <c r="B12" s="119"/>
      <c r="C12" s="139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8" t="s">
        <v>35</v>
      </c>
      <c r="B13" s="119"/>
      <c r="C13" s="139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8" t="s">
        <v>40</v>
      </c>
      <c r="B14" s="119"/>
      <c r="C14" s="139" t="s">
        <v>41</v>
      </c>
      <c r="D14" s="119"/>
      <c r="E14" s="7"/>
      <c r="F14" s="141" t="s">
        <v>42</v>
      </c>
      <c r="G14" s="119"/>
      <c r="H14" s="119"/>
      <c r="I14" s="142" t="s">
        <v>43</v>
      </c>
      <c r="J14" s="129"/>
    </row>
    <row r="15" spans="1:26" ht="15" customHeight="1" x14ac:dyDescent="0.25">
      <c r="A15" s="138" t="s">
        <v>44</v>
      </c>
      <c r="B15" s="119"/>
      <c r="C15" s="139" t="s">
        <v>45</v>
      </c>
      <c r="D15" s="119"/>
      <c r="E15" s="7"/>
      <c r="F15" s="38" t="s">
        <v>74</v>
      </c>
      <c r="G15" s="145" t="str">
        <f>FormSampel!B14</f>
        <v>HC 16350373 - 2</v>
      </c>
      <c r="H15" s="145"/>
      <c r="I15" s="99">
        <f>FormSampel!C14</f>
        <v>45808</v>
      </c>
      <c r="J15" s="100"/>
    </row>
    <row r="16" spans="1:26" ht="15" customHeight="1" x14ac:dyDescent="0.25">
      <c r="A16" s="138" t="s">
        <v>46</v>
      </c>
      <c r="B16" s="119"/>
      <c r="C16" s="144" t="s">
        <v>47</v>
      </c>
      <c r="D16" s="119"/>
      <c r="E16" s="119"/>
      <c r="F16" s="39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166">
        <f>FormSampel!I1</f>
        <v>100.54600000000001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0.10054600000000001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166">
        <f>FormSampel!I2</f>
        <v>375.43900000000002</v>
      </c>
      <c r="D23" s="30" t="s">
        <v>50</v>
      </c>
      <c r="E23" s="36">
        <v>1000</v>
      </c>
      <c r="F23" s="110" t="s">
        <v>51</v>
      </c>
      <c r="G23" s="109"/>
      <c r="H23" s="111">
        <f>IF(C24&lt;0.15,"&lt;0.15",C24)</f>
        <v>0.37543900000000002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20">
        <f>C23/1000</f>
        <v>0.37543900000000002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166">
        <f>FormSampel!I3</f>
        <v>24.47</v>
      </c>
      <c r="D26" s="30" t="s">
        <v>50</v>
      </c>
      <c r="E26" s="36">
        <v>1000</v>
      </c>
      <c r="F26" s="121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2">
        <f>C26/1000</f>
        <v>2.4469999999999999E-2</v>
      </c>
      <c r="D27" s="123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166">
        <f>FormSampel!I4</f>
        <v>566.71400000000006</v>
      </c>
      <c r="D29" s="30" t="s">
        <v>50</v>
      </c>
      <c r="E29" s="36">
        <v>1000</v>
      </c>
      <c r="F29" s="124" t="s">
        <v>51</v>
      </c>
      <c r="G29" s="119"/>
      <c r="H29" s="111">
        <f>IF(AND(C30&lt;0.15),"&lt;0.15",C30)</f>
        <v>0.56671400000000005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0.56671400000000005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7" t="s">
        <v>57</v>
      </c>
      <c r="B31" s="12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8" t="s">
        <v>59</v>
      </c>
      <c r="C32" s="119"/>
      <c r="D32" s="119"/>
      <c r="E32" s="129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9"/>
      <c r="F33" s="21"/>
      <c r="G33" s="1"/>
      <c r="H33" s="1"/>
      <c r="I33" s="1"/>
      <c r="J33" s="16"/>
    </row>
    <row r="34" spans="1:26" ht="15.75" customHeight="1" x14ac:dyDescent="0.25">
      <c r="A34" s="22"/>
      <c r="B34" s="158" t="s">
        <v>60</v>
      </c>
      <c r="C34" s="119"/>
      <c r="D34" s="119"/>
      <c r="E34" s="129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9" t="s">
        <v>61</v>
      </c>
      <c r="B38" s="126"/>
      <c r="C38" s="126"/>
      <c r="D38" s="126"/>
      <c r="E38" s="127"/>
      <c r="F38" s="146" t="str">
        <f>FormSampel!B19</f>
        <v xml:space="preserve">    IQBAL    NORDIYANA    MAISARAH</v>
      </c>
      <c r="G38" s="147"/>
      <c r="H38" s="150">
        <f>FormSampel!B20</f>
        <v>45301</v>
      </c>
      <c r="I38" s="150"/>
      <c r="J38" s="151"/>
    </row>
    <row r="39" spans="1:26" ht="11.25" customHeight="1" x14ac:dyDescent="0.25">
      <c r="A39" s="155"/>
      <c r="B39" s="156"/>
      <c r="C39" s="156"/>
      <c r="D39" s="156"/>
      <c r="E39" s="160"/>
      <c r="F39" s="148"/>
      <c r="G39" s="149"/>
      <c r="H39" s="152"/>
      <c r="I39" s="152"/>
      <c r="J39" s="153"/>
    </row>
    <row r="40" spans="1:26" ht="15.75" customHeight="1" x14ac:dyDescent="0.25">
      <c r="A40" s="154" t="s">
        <v>62</v>
      </c>
      <c r="B40" s="126"/>
      <c r="C40" s="126"/>
      <c r="D40" s="126"/>
      <c r="E40" s="126"/>
      <c r="F40" s="27"/>
      <c r="G40" s="23"/>
      <c r="H40" s="23"/>
      <c r="I40" s="23"/>
      <c r="J40" s="16"/>
    </row>
    <row r="41" spans="1:26" ht="11.25" customHeight="1" x14ac:dyDescent="0.25">
      <c r="A41" s="155"/>
      <c r="B41" s="156"/>
      <c r="C41" s="156"/>
      <c r="D41" s="156"/>
      <c r="E41" s="156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50A64A-B9AE-4B9B-A368-2E04AEC98E2E}">
  <sheetPr codeName="Sheet2"/>
  <dimension ref="A1:Z579"/>
  <sheetViews>
    <sheetView view="pageLayout" topLeftCell="A9" zoomScale="112" zoomScaleNormal="100" zoomScalePageLayoutView="112" workbookViewId="0">
      <selection activeCell="C23" sqref="C23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 t="str">
        <f>FormSampel!G6</f>
        <v>2024080259 BR Cd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011024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26"/>
      <c r="C7" s="137" t="s">
        <v>7</v>
      </c>
      <c r="D7" s="126"/>
      <c r="E7" s="126"/>
      <c r="F7" s="2" t="s">
        <v>8</v>
      </c>
      <c r="G7" s="125" t="s">
        <v>9</v>
      </c>
      <c r="H7" s="126"/>
      <c r="I7" s="126"/>
      <c r="J7" s="127"/>
    </row>
    <row r="8" spans="1:26" ht="15" customHeight="1" x14ac:dyDescent="0.25">
      <c r="A8" s="138" t="s">
        <v>10</v>
      </c>
      <c r="B8" s="119"/>
      <c r="C8" s="139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28"/>
      <c r="J8" s="129"/>
    </row>
    <row r="9" spans="1:26" ht="30" customHeight="1" x14ac:dyDescent="0.25">
      <c r="A9" s="140" t="s">
        <v>15</v>
      </c>
      <c r="B9" s="119"/>
      <c r="C9" s="139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8" t="s">
        <v>20</v>
      </c>
      <c r="B10" s="119"/>
      <c r="C10" s="139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0" t="s">
        <v>25</v>
      </c>
      <c r="B11" s="119"/>
      <c r="C11" s="14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8" t="s">
        <v>30</v>
      </c>
      <c r="B12" s="119"/>
      <c r="C12" s="139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8" t="s">
        <v>35</v>
      </c>
      <c r="B13" s="119"/>
      <c r="C13" s="139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8" t="s">
        <v>40</v>
      </c>
      <c r="B14" s="119"/>
      <c r="C14" s="139" t="s">
        <v>41</v>
      </c>
      <c r="D14" s="119"/>
      <c r="E14" s="7"/>
      <c r="F14" s="141" t="s">
        <v>42</v>
      </c>
      <c r="G14" s="119"/>
      <c r="H14" s="119"/>
      <c r="I14" s="142" t="s">
        <v>43</v>
      </c>
      <c r="J14" s="129"/>
    </row>
    <row r="15" spans="1:26" ht="15" customHeight="1" x14ac:dyDescent="0.25">
      <c r="A15" s="138" t="s">
        <v>44</v>
      </c>
      <c r="B15" s="119"/>
      <c r="C15" s="139" t="s">
        <v>45</v>
      </c>
      <c r="D15" s="119"/>
      <c r="E15" s="7"/>
      <c r="F15" s="38" t="s">
        <v>74</v>
      </c>
      <c r="G15" s="145" t="str">
        <f>FormSampel!B14</f>
        <v>HC 16350373 - 2</v>
      </c>
      <c r="H15" s="145"/>
      <c r="I15" s="99">
        <f>FormSampel!C14</f>
        <v>45808</v>
      </c>
      <c r="J15" s="100"/>
    </row>
    <row r="16" spans="1:26" ht="15" customHeight="1" x14ac:dyDescent="0.25">
      <c r="A16" s="138" t="s">
        <v>46</v>
      </c>
      <c r="B16" s="119"/>
      <c r="C16" s="144" t="s">
        <v>47</v>
      </c>
      <c r="D16" s="119"/>
      <c r="E16" s="119"/>
      <c r="F16" s="39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74" t="str">
        <f>FormSampel!I6</f>
        <v>NA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NA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 t="s">
        <v>108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FormSampel!I7</f>
        <v>378.50400000000002</v>
      </c>
      <c r="D23" s="30" t="s">
        <v>50</v>
      </c>
      <c r="E23" s="36">
        <v>1000</v>
      </c>
      <c r="F23" s="110" t="s">
        <v>51</v>
      </c>
      <c r="G23" s="109"/>
      <c r="H23" s="111">
        <f>IF(C24&lt;0.15,"&lt;0.15",C24)</f>
        <v>0.37850400000000001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20">
        <f>C23/1000</f>
        <v>0.37850400000000001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74" t="str">
        <f>FormSampel!I8</f>
        <v>NA</v>
      </c>
      <c r="D26" s="30" t="s">
        <v>50</v>
      </c>
      <c r="E26" s="36">
        <v>1000</v>
      </c>
      <c r="F26" s="121" t="s">
        <v>51</v>
      </c>
      <c r="G26" s="109"/>
      <c r="H26" s="111" t="str">
        <f>IF(AND(C27&lt;0.15),"&lt;0.15",C27)</f>
        <v>NA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2" t="s">
        <v>108</v>
      </c>
      <c r="D27" s="123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74" t="str">
        <f>FormSampel!I9</f>
        <v>NA</v>
      </c>
      <c r="D29" s="30" t="s">
        <v>50</v>
      </c>
      <c r="E29" s="36">
        <v>1000</v>
      </c>
      <c r="F29" s="124" t="s">
        <v>51</v>
      </c>
      <c r="G29" s="119"/>
      <c r="H29" s="111" t="str">
        <f>IF(AND(C30&lt;0.15),"&lt;0.15",C30)</f>
        <v>NA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 t="s">
        <v>108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7" t="s">
        <v>57</v>
      </c>
      <c r="B31" s="12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8" t="s">
        <v>59</v>
      </c>
      <c r="C32" s="119"/>
      <c r="D32" s="119"/>
      <c r="E32" s="129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9"/>
      <c r="F33" s="21"/>
      <c r="G33" s="1"/>
      <c r="H33" s="1"/>
      <c r="I33" s="1"/>
      <c r="J33" s="16"/>
    </row>
    <row r="34" spans="1:26" ht="15.75" customHeight="1" x14ac:dyDescent="0.25">
      <c r="A34" s="22"/>
      <c r="B34" s="158" t="s">
        <v>60</v>
      </c>
      <c r="C34" s="119"/>
      <c r="D34" s="119"/>
      <c r="E34" s="129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9" t="s">
        <v>61</v>
      </c>
      <c r="B38" s="126"/>
      <c r="C38" s="126"/>
      <c r="D38" s="126"/>
      <c r="E38" s="127"/>
      <c r="F38" s="146" t="str">
        <f>FormSampel!B19</f>
        <v xml:space="preserve">    IQBAL    NORDIYANA    MAISARAH</v>
      </c>
      <c r="G38" s="147"/>
      <c r="H38" s="150">
        <f>FormSampel!B20</f>
        <v>45301</v>
      </c>
      <c r="I38" s="150"/>
      <c r="J38" s="151"/>
    </row>
    <row r="39" spans="1:26" ht="11.25" customHeight="1" x14ac:dyDescent="0.25">
      <c r="A39" s="155"/>
      <c r="B39" s="156"/>
      <c r="C39" s="156"/>
      <c r="D39" s="156"/>
      <c r="E39" s="160"/>
      <c r="F39" s="148"/>
      <c r="G39" s="149"/>
      <c r="H39" s="152"/>
      <c r="I39" s="152"/>
      <c r="J39" s="153"/>
    </row>
    <row r="40" spans="1:26" ht="15.75" customHeight="1" x14ac:dyDescent="0.25">
      <c r="A40" s="154" t="s">
        <v>62</v>
      </c>
      <c r="B40" s="126"/>
      <c r="C40" s="126"/>
      <c r="D40" s="126"/>
      <c r="E40" s="126"/>
      <c r="F40" s="27"/>
      <c r="G40" s="23"/>
      <c r="H40" s="23"/>
      <c r="I40" s="23"/>
      <c r="J40" s="16"/>
    </row>
    <row r="41" spans="1:26" ht="11.25" customHeight="1" x14ac:dyDescent="0.25">
      <c r="A41" s="155"/>
      <c r="B41" s="156"/>
      <c r="C41" s="156"/>
      <c r="D41" s="156"/>
      <c r="E41" s="156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11BE1-83FF-4C7D-A0B6-93773B52196B}">
  <sheetPr codeName="Sheet3"/>
  <dimension ref="A1:Z579"/>
  <sheetViews>
    <sheetView view="pageLayout" topLeftCell="A18" zoomScale="112" zoomScaleNormal="100" zoomScalePageLayoutView="112" workbookViewId="0">
      <selection activeCell="L21" sqref="L21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 t="str">
        <f>FormSampel!G11</f>
        <v>2024080259 CR Cd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011024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26"/>
      <c r="C7" s="137" t="s">
        <v>7</v>
      </c>
      <c r="D7" s="126"/>
      <c r="E7" s="126"/>
      <c r="F7" s="2" t="s">
        <v>8</v>
      </c>
      <c r="G7" s="125" t="s">
        <v>9</v>
      </c>
      <c r="H7" s="126"/>
      <c r="I7" s="126"/>
      <c r="J7" s="127"/>
    </row>
    <row r="8" spans="1:26" ht="15" customHeight="1" x14ac:dyDescent="0.25">
      <c r="A8" s="138" t="s">
        <v>10</v>
      </c>
      <c r="B8" s="119"/>
      <c r="C8" s="139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28"/>
      <c r="J8" s="129"/>
    </row>
    <row r="9" spans="1:26" ht="30" customHeight="1" x14ac:dyDescent="0.25">
      <c r="A9" s="140" t="s">
        <v>15</v>
      </c>
      <c r="B9" s="119"/>
      <c r="C9" s="139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8" t="s">
        <v>20</v>
      </c>
      <c r="B10" s="119"/>
      <c r="C10" s="139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0" t="s">
        <v>25</v>
      </c>
      <c r="B11" s="119"/>
      <c r="C11" s="14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8" t="s">
        <v>30</v>
      </c>
      <c r="B12" s="119"/>
      <c r="C12" s="139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8" t="s">
        <v>35</v>
      </c>
      <c r="B13" s="119"/>
      <c r="C13" s="139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8" t="s">
        <v>40</v>
      </c>
      <c r="B14" s="119"/>
      <c r="C14" s="139" t="s">
        <v>41</v>
      </c>
      <c r="D14" s="119"/>
      <c r="E14" s="7"/>
      <c r="F14" s="141" t="s">
        <v>42</v>
      </c>
      <c r="G14" s="119"/>
      <c r="H14" s="119"/>
      <c r="I14" s="142" t="s">
        <v>43</v>
      </c>
      <c r="J14" s="129"/>
    </row>
    <row r="15" spans="1:26" ht="15" customHeight="1" x14ac:dyDescent="0.25">
      <c r="A15" s="138" t="s">
        <v>44</v>
      </c>
      <c r="B15" s="119"/>
      <c r="C15" s="139" t="s">
        <v>45</v>
      </c>
      <c r="D15" s="119"/>
      <c r="E15" s="7"/>
      <c r="F15" s="38" t="s">
        <v>74</v>
      </c>
      <c r="G15" s="145" t="str">
        <f>FormSampel!B14</f>
        <v>HC 16350373 - 2</v>
      </c>
      <c r="H15" s="145"/>
      <c r="I15" s="99">
        <f>FormSampel!C14</f>
        <v>45808</v>
      </c>
      <c r="J15" s="100"/>
    </row>
    <row r="16" spans="1:26" ht="15" customHeight="1" x14ac:dyDescent="0.25">
      <c r="A16" s="138" t="s">
        <v>46</v>
      </c>
      <c r="B16" s="119"/>
      <c r="C16" s="144" t="s">
        <v>47</v>
      </c>
      <c r="D16" s="119"/>
      <c r="E16" s="119"/>
      <c r="F16" s="39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74" t="str">
        <f>FormSampel!I11</f>
        <v>NA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NA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 t="s">
        <v>108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FormSampel!I12</f>
        <v>377.625</v>
      </c>
      <c r="D23" s="30" t="s">
        <v>50</v>
      </c>
      <c r="E23" s="36">
        <v>1000</v>
      </c>
      <c r="F23" s="110" t="s">
        <v>51</v>
      </c>
      <c r="G23" s="109"/>
      <c r="H23" s="111">
        <f>IF(C24&lt;0.15,"&lt;0.15",C24)</f>
        <v>0.37762499999999999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20">
        <f>C23/1000</f>
        <v>0.37762499999999999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74" t="str">
        <f>FormSampel!I13</f>
        <v>NA</v>
      </c>
      <c r="D26" s="30" t="s">
        <v>50</v>
      </c>
      <c r="E26" s="36">
        <v>1000</v>
      </c>
      <c r="F26" s="121" t="s">
        <v>51</v>
      </c>
      <c r="G26" s="109"/>
      <c r="H26" s="111" t="str">
        <f>IF(AND(C27&lt;0.15),"&lt;0.15",C27)</f>
        <v>NA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2" t="s">
        <v>108</v>
      </c>
      <c r="D27" s="123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74" t="str">
        <f>FormSampel!I14</f>
        <v>NA</v>
      </c>
      <c r="D29" s="30" t="s">
        <v>50</v>
      </c>
      <c r="E29" s="36">
        <v>1000</v>
      </c>
      <c r="F29" s="124" t="s">
        <v>51</v>
      </c>
      <c r="G29" s="119"/>
      <c r="H29" s="111" t="str">
        <f>IF(AND(C30&lt;0.15),"&lt;0.15",C30)</f>
        <v>NA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 t="s">
        <v>108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7" t="s">
        <v>57</v>
      </c>
      <c r="B31" s="12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8" t="s">
        <v>59</v>
      </c>
      <c r="C32" s="119"/>
      <c r="D32" s="119"/>
      <c r="E32" s="129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9"/>
      <c r="F33" s="21"/>
      <c r="G33" s="1"/>
      <c r="H33" s="1"/>
      <c r="I33" s="1"/>
      <c r="J33" s="16"/>
    </row>
    <row r="34" spans="1:26" ht="15.75" customHeight="1" x14ac:dyDescent="0.25">
      <c r="A34" s="22"/>
      <c r="B34" s="158" t="s">
        <v>60</v>
      </c>
      <c r="C34" s="119"/>
      <c r="D34" s="119"/>
      <c r="E34" s="129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9" t="s">
        <v>61</v>
      </c>
      <c r="B38" s="126"/>
      <c r="C38" s="126"/>
      <c r="D38" s="126"/>
      <c r="E38" s="127"/>
      <c r="F38" s="146" t="str">
        <f>FormSampel!B19</f>
        <v xml:space="preserve">    IQBAL    NORDIYANA    MAISARAH</v>
      </c>
      <c r="G38" s="147"/>
      <c r="H38" s="150">
        <f>FormSampel!B20</f>
        <v>45301</v>
      </c>
      <c r="I38" s="150"/>
      <c r="J38" s="151"/>
    </row>
    <row r="39" spans="1:26" ht="11.25" customHeight="1" x14ac:dyDescent="0.25">
      <c r="A39" s="155"/>
      <c r="B39" s="156"/>
      <c r="C39" s="156"/>
      <c r="D39" s="156"/>
      <c r="E39" s="160"/>
      <c r="F39" s="148"/>
      <c r="G39" s="149"/>
      <c r="H39" s="152"/>
      <c r="I39" s="152"/>
      <c r="J39" s="153"/>
    </row>
    <row r="40" spans="1:26" ht="15.75" customHeight="1" x14ac:dyDescent="0.25">
      <c r="A40" s="154" t="s">
        <v>62</v>
      </c>
      <c r="B40" s="126"/>
      <c r="C40" s="126"/>
      <c r="D40" s="126"/>
      <c r="E40" s="126"/>
      <c r="F40" s="27"/>
      <c r="G40" s="23"/>
      <c r="H40" s="23"/>
      <c r="I40" s="23"/>
      <c r="J40" s="16"/>
    </row>
    <row r="41" spans="1:26" ht="11.25" customHeight="1" x14ac:dyDescent="0.25">
      <c r="A41" s="155"/>
      <c r="B41" s="156"/>
      <c r="C41" s="156"/>
      <c r="D41" s="156"/>
      <c r="E41" s="156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9BAB3-5406-4BBE-8CB7-3C4BBD174386}">
  <sheetPr codeName="Sheet4"/>
  <dimension ref="A1:Z579"/>
  <sheetViews>
    <sheetView view="pageLayout" topLeftCell="A2" zoomScale="112" zoomScaleNormal="100" zoomScalePageLayoutView="112" workbookViewId="0">
      <selection activeCell="M7" sqref="M7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FormSampel!G16</f>
        <v>2024090034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011024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26"/>
      <c r="C7" s="137" t="s">
        <v>7</v>
      </c>
      <c r="D7" s="126"/>
      <c r="E7" s="126"/>
      <c r="F7" s="2" t="s">
        <v>8</v>
      </c>
      <c r="G7" s="125" t="s">
        <v>9</v>
      </c>
      <c r="H7" s="126"/>
      <c r="I7" s="126"/>
      <c r="J7" s="127"/>
    </row>
    <row r="8" spans="1:26" ht="15" customHeight="1" x14ac:dyDescent="0.25">
      <c r="A8" s="138" t="s">
        <v>10</v>
      </c>
      <c r="B8" s="119"/>
      <c r="C8" s="139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28"/>
      <c r="J8" s="129"/>
    </row>
    <row r="9" spans="1:26" ht="30" customHeight="1" x14ac:dyDescent="0.25">
      <c r="A9" s="140" t="s">
        <v>15</v>
      </c>
      <c r="B9" s="119"/>
      <c r="C9" s="139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8" t="s">
        <v>20</v>
      </c>
      <c r="B10" s="119"/>
      <c r="C10" s="139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0" t="s">
        <v>25</v>
      </c>
      <c r="B11" s="119"/>
      <c r="C11" s="14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8" t="s">
        <v>30</v>
      </c>
      <c r="B12" s="119"/>
      <c r="C12" s="139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8" t="s">
        <v>35</v>
      </c>
      <c r="B13" s="119"/>
      <c r="C13" s="139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8" t="s">
        <v>40</v>
      </c>
      <c r="B14" s="119"/>
      <c r="C14" s="139" t="s">
        <v>41</v>
      </c>
      <c r="D14" s="119"/>
      <c r="E14" s="7"/>
      <c r="F14" s="141" t="s">
        <v>42</v>
      </c>
      <c r="G14" s="119"/>
      <c r="H14" s="119"/>
      <c r="I14" s="142" t="s">
        <v>43</v>
      </c>
      <c r="J14" s="129"/>
    </row>
    <row r="15" spans="1:26" ht="15" customHeight="1" x14ac:dyDescent="0.25">
      <c r="A15" s="138" t="s">
        <v>44</v>
      </c>
      <c r="B15" s="119"/>
      <c r="C15" s="139" t="s">
        <v>45</v>
      </c>
      <c r="D15" s="119"/>
      <c r="E15" s="7"/>
      <c r="F15" s="38" t="s">
        <v>74</v>
      </c>
      <c r="G15" s="145" t="str">
        <f>FormSampel!B14</f>
        <v>HC 16350373 - 2</v>
      </c>
      <c r="H15" s="145"/>
      <c r="I15" s="99">
        <f>FormSampel!C14</f>
        <v>45808</v>
      </c>
      <c r="J15" s="100"/>
    </row>
    <row r="16" spans="1:26" ht="15" customHeight="1" x14ac:dyDescent="0.25">
      <c r="A16" s="138" t="s">
        <v>46</v>
      </c>
      <c r="B16" s="119"/>
      <c r="C16" s="144" t="s">
        <v>47</v>
      </c>
      <c r="D16" s="119"/>
      <c r="E16" s="119"/>
      <c r="F16" s="39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FormSampel!I16</f>
        <v>3.7410000000000001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20">
        <f>C20/1000</f>
        <v>3.741E-3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FormSampel!I17</f>
        <v>3.2959999999999998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20">
        <f>C23/1000</f>
        <v>3.2959999999999999E-3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FormSampel!I18</f>
        <v>2.1280000000000001</v>
      </c>
      <c r="D26" s="30" t="s">
        <v>50</v>
      </c>
      <c r="E26" s="36">
        <v>1000</v>
      </c>
      <c r="F26" s="121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61">
        <f>C26/1000</f>
        <v>2.1280000000000001E-3</v>
      </c>
      <c r="D27" s="123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FormSampel!I19</f>
        <v>75.923000000000002</v>
      </c>
      <c r="D29" s="30" t="s">
        <v>50</v>
      </c>
      <c r="E29" s="36">
        <v>1000</v>
      </c>
      <c r="F29" s="124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20">
        <f>C29/1000</f>
        <v>7.5923000000000004E-2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7" t="s">
        <v>57</v>
      </c>
      <c r="B31" s="12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8" t="s">
        <v>59</v>
      </c>
      <c r="C32" s="119"/>
      <c r="D32" s="119"/>
      <c r="E32" s="129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9"/>
      <c r="F33" s="21"/>
      <c r="G33" s="1"/>
      <c r="H33" s="1"/>
      <c r="I33" s="1"/>
      <c r="J33" s="16"/>
    </row>
    <row r="34" spans="1:26" ht="15.75" customHeight="1" x14ac:dyDescent="0.25">
      <c r="A34" s="22"/>
      <c r="B34" s="158" t="s">
        <v>60</v>
      </c>
      <c r="C34" s="119"/>
      <c r="D34" s="119"/>
      <c r="E34" s="129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9" t="s">
        <v>61</v>
      </c>
      <c r="B38" s="126"/>
      <c r="C38" s="126"/>
      <c r="D38" s="126"/>
      <c r="E38" s="127"/>
      <c r="F38" s="146" t="str">
        <f>FormSampel!B19</f>
        <v xml:space="preserve">    IQBAL    NORDIYANA    MAISARAH</v>
      </c>
      <c r="G38" s="147"/>
      <c r="H38" s="150">
        <f>FormSampel!B20</f>
        <v>45301</v>
      </c>
      <c r="I38" s="150"/>
      <c r="J38" s="151"/>
    </row>
    <row r="39" spans="1:26" ht="11.25" customHeight="1" x14ac:dyDescent="0.25">
      <c r="A39" s="155"/>
      <c r="B39" s="156"/>
      <c r="C39" s="156"/>
      <c r="D39" s="156"/>
      <c r="E39" s="160"/>
      <c r="F39" s="148"/>
      <c r="G39" s="149"/>
      <c r="H39" s="152"/>
      <c r="I39" s="152"/>
      <c r="J39" s="153"/>
    </row>
    <row r="40" spans="1:26" ht="15.75" customHeight="1" x14ac:dyDescent="0.25">
      <c r="A40" s="154" t="s">
        <v>62</v>
      </c>
      <c r="B40" s="126"/>
      <c r="C40" s="126"/>
      <c r="D40" s="126"/>
      <c r="E40" s="126"/>
      <c r="F40" s="27"/>
      <c r="G40" s="23"/>
      <c r="H40" s="23"/>
      <c r="I40" s="23"/>
      <c r="J40" s="16"/>
    </row>
    <row r="41" spans="1:26" ht="11.25" customHeight="1" x14ac:dyDescent="0.25">
      <c r="A41" s="155"/>
      <c r="B41" s="156"/>
      <c r="C41" s="156"/>
      <c r="D41" s="156"/>
      <c r="E41" s="156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0FB7E-DC00-40BB-81A8-C80C4A6DD81D}">
  <sheetPr codeName="Sheet5"/>
  <dimension ref="A1:Z579"/>
  <sheetViews>
    <sheetView view="pageLayout" topLeftCell="A13" zoomScale="112" zoomScaleNormal="100" zoomScalePageLayoutView="112" workbookViewId="0">
      <selection activeCell="M29" sqref="M2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FormSampel!G21</f>
        <v>2024080259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011024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26"/>
      <c r="C7" s="137" t="s">
        <v>7</v>
      </c>
      <c r="D7" s="126"/>
      <c r="E7" s="126"/>
      <c r="F7" s="2" t="s">
        <v>8</v>
      </c>
      <c r="G7" s="125" t="s">
        <v>9</v>
      </c>
      <c r="H7" s="126"/>
      <c r="I7" s="126"/>
      <c r="J7" s="127"/>
    </row>
    <row r="8" spans="1:26" ht="15" customHeight="1" x14ac:dyDescent="0.25">
      <c r="A8" s="138" t="s">
        <v>10</v>
      </c>
      <c r="B8" s="119"/>
      <c r="C8" s="139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28"/>
      <c r="J8" s="129"/>
    </row>
    <row r="9" spans="1:26" ht="30" customHeight="1" x14ac:dyDescent="0.25">
      <c r="A9" s="140" t="s">
        <v>15</v>
      </c>
      <c r="B9" s="119"/>
      <c r="C9" s="139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8" t="s">
        <v>20</v>
      </c>
      <c r="B10" s="119"/>
      <c r="C10" s="139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0" t="s">
        <v>25</v>
      </c>
      <c r="B11" s="119"/>
      <c r="C11" s="14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8" t="s">
        <v>30</v>
      </c>
      <c r="B12" s="119"/>
      <c r="C12" s="139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8" t="s">
        <v>35</v>
      </c>
      <c r="B13" s="119"/>
      <c r="C13" s="139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8" t="s">
        <v>40</v>
      </c>
      <c r="B14" s="119"/>
      <c r="C14" s="139" t="s">
        <v>41</v>
      </c>
      <c r="D14" s="119"/>
      <c r="E14" s="7"/>
      <c r="F14" s="141" t="s">
        <v>42</v>
      </c>
      <c r="G14" s="119"/>
      <c r="H14" s="119"/>
      <c r="I14" s="142" t="s">
        <v>43</v>
      </c>
      <c r="J14" s="129"/>
    </row>
    <row r="15" spans="1:26" ht="15" customHeight="1" x14ac:dyDescent="0.25">
      <c r="A15" s="138" t="s">
        <v>44</v>
      </c>
      <c r="B15" s="119"/>
      <c r="C15" s="139" t="s">
        <v>45</v>
      </c>
      <c r="D15" s="119"/>
      <c r="E15" s="7"/>
      <c r="F15" s="38" t="s">
        <v>74</v>
      </c>
      <c r="G15" s="145" t="str">
        <f>FormSampel!B14</f>
        <v>HC 16350373 - 2</v>
      </c>
      <c r="H15" s="145"/>
      <c r="I15" s="99">
        <f>FormSampel!C14</f>
        <v>45808</v>
      </c>
      <c r="J15" s="100"/>
    </row>
    <row r="16" spans="1:26" ht="15" customHeight="1" x14ac:dyDescent="0.25">
      <c r="A16" s="138" t="s">
        <v>46</v>
      </c>
      <c r="B16" s="119"/>
      <c r="C16" s="144" t="s">
        <v>47</v>
      </c>
      <c r="D16" s="119"/>
      <c r="E16" s="119"/>
      <c r="F16" s="39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FormSampel!I21</f>
        <v>100.54600000000001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20">
        <f>C20/1000</f>
        <v>0.10054600000000001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FormSampel!I22</f>
        <v>375.43900000000002</v>
      </c>
      <c r="D23" s="30" t="s">
        <v>50</v>
      </c>
      <c r="E23" s="36">
        <v>1000</v>
      </c>
      <c r="F23" s="110" t="s">
        <v>51</v>
      </c>
      <c r="G23" s="109"/>
      <c r="H23" s="111">
        <f>IF(C24&lt;0.15,"&lt;0.15",C24)</f>
        <v>0.37543900000000002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20">
        <f>C23/1000</f>
        <v>0.37543900000000002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FormSampel!I23</f>
        <v>24.27</v>
      </c>
      <c r="D26" s="30" t="s">
        <v>50</v>
      </c>
      <c r="E26" s="36">
        <v>1000</v>
      </c>
      <c r="F26" s="121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61">
        <f>C26/1000</f>
        <v>2.427E-2</v>
      </c>
      <c r="D27" s="123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FormSampel!I24</f>
        <v>566.71400000000006</v>
      </c>
      <c r="D29" s="30" t="s">
        <v>50</v>
      </c>
      <c r="E29" s="36">
        <v>1000</v>
      </c>
      <c r="F29" s="124" t="s">
        <v>51</v>
      </c>
      <c r="G29" s="119"/>
      <c r="H29" s="111">
        <f>IF(AND(C30&lt;0.15),"&lt;0.15",C30)</f>
        <v>0.56671400000000005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20">
        <f>C29/1000</f>
        <v>0.56671400000000005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7" t="s">
        <v>57</v>
      </c>
      <c r="B31" s="12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8" t="s">
        <v>59</v>
      </c>
      <c r="C32" s="119"/>
      <c r="D32" s="119"/>
      <c r="E32" s="129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9"/>
      <c r="F33" s="21"/>
      <c r="G33" s="1"/>
      <c r="H33" s="1"/>
      <c r="I33" s="1"/>
      <c r="J33" s="16"/>
    </row>
    <row r="34" spans="1:26" ht="15.75" customHeight="1" x14ac:dyDescent="0.25">
      <c r="A34" s="22"/>
      <c r="B34" s="158" t="s">
        <v>60</v>
      </c>
      <c r="C34" s="119"/>
      <c r="D34" s="119"/>
      <c r="E34" s="129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9" t="s">
        <v>61</v>
      </c>
      <c r="B38" s="126"/>
      <c r="C38" s="126"/>
      <c r="D38" s="126"/>
      <c r="E38" s="127"/>
      <c r="F38" s="162" t="str">
        <f>FormSampel!B19</f>
        <v xml:space="preserve">    IQBAL    NORDIYANA    MAISARAH</v>
      </c>
      <c r="G38" s="163"/>
      <c r="H38" s="150">
        <f>FormSampel!B20</f>
        <v>45301</v>
      </c>
      <c r="I38" s="150"/>
      <c r="J38" s="151"/>
    </row>
    <row r="39" spans="1:26" ht="11.25" customHeight="1" x14ac:dyDescent="0.25">
      <c r="A39" s="155"/>
      <c r="B39" s="156"/>
      <c r="C39" s="156"/>
      <c r="D39" s="156"/>
      <c r="E39" s="160"/>
      <c r="F39" s="164"/>
      <c r="G39" s="165"/>
      <c r="H39" s="152"/>
      <c r="I39" s="152"/>
      <c r="J39" s="153"/>
    </row>
    <row r="40" spans="1:26" ht="15.75" customHeight="1" x14ac:dyDescent="0.25">
      <c r="A40" s="154" t="s">
        <v>62</v>
      </c>
      <c r="B40" s="126"/>
      <c r="C40" s="126"/>
      <c r="D40" s="126"/>
      <c r="E40" s="126"/>
      <c r="F40" s="27"/>
      <c r="G40" s="23"/>
      <c r="H40" s="23"/>
      <c r="I40" s="23"/>
      <c r="J40" s="16"/>
    </row>
    <row r="41" spans="1:26" ht="11.25" customHeight="1" x14ac:dyDescent="0.25">
      <c r="A41" s="155"/>
      <c r="B41" s="156"/>
      <c r="C41" s="156"/>
      <c r="D41" s="156"/>
      <c r="E41" s="156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77338-862F-457F-AAF6-7AC012A9A73F}">
  <sheetPr codeName="Sheet6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FormSampel!G26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011024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26"/>
      <c r="C7" s="137" t="s">
        <v>7</v>
      </c>
      <c r="D7" s="126"/>
      <c r="E7" s="126"/>
      <c r="F7" s="2" t="s">
        <v>8</v>
      </c>
      <c r="G7" s="125" t="s">
        <v>9</v>
      </c>
      <c r="H7" s="126"/>
      <c r="I7" s="126"/>
      <c r="J7" s="127"/>
    </row>
    <row r="8" spans="1:26" ht="15" customHeight="1" x14ac:dyDescent="0.25">
      <c r="A8" s="138" t="s">
        <v>10</v>
      </c>
      <c r="B8" s="119"/>
      <c r="C8" s="139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28"/>
      <c r="J8" s="129"/>
    </row>
    <row r="9" spans="1:26" ht="30" customHeight="1" x14ac:dyDescent="0.25">
      <c r="A9" s="140" t="s">
        <v>15</v>
      </c>
      <c r="B9" s="119"/>
      <c r="C9" s="139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8" t="s">
        <v>20</v>
      </c>
      <c r="B10" s="119"/>
      <c r="C10" s="139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0" t="s">
        <v>25</v>
      </c>
      <c r="B11" s="119"/>
      <c r="C11" s="14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8" t="s">
        <v>30</v>
      </c>
      <c r="B12" s="119"/>
      <c r="C12" s="139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8" t="s">
        <v>35</v>
      </c>
      <c r="B13" s="119"/>
      <c r="C13" s="139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8" t="s">
        <v>40</v>
      </c>
      <c r="B14" s="119"/>
      <c r="C14" s="139" t="s">
        <v>41</v>
      </c>
      <c r="D14" s="119"/>
      <c r="E14" s="7"/>
      <c r="F14" s="141" t="s">
        <v>42</v>
      </c>
      <c r="G14" s="119"/>
      <c r="H14" s="119"/>
      <c r="I14" s="142" t="s">
        <v>43</v>
      </c>
      <c r="J14" s="129"/>
    </row>
    <row r="15" spans="1:26" ht="15" customHeight="1" x14ac:dyDescent="0.25">
      <c r="A15" s="138" t="s">
        <v>44</v>
      </c>
      <c r="B15" s="119"/>
      <c r="C15" s="139" t="s">
        <v>45</v>
      </c>
      <c r="D15" s="119"/>
      <c r="E15" s="7"/>
      <c r="F15" s="38" t="s">
        <v>74</v>
      </c>
      <c r="G15" s="145" t="str">
        <f>FormSampel!B14</f>
        <v>HC 16350373 - 2</v>
      </c>
      <c r="H15" s="145"/>
      <c r="I15" s="99">
        <f>FormSampel!C14</f>
        <v>45808</v>
      </c>
      <c r="J15" s="100"/>
    </row>
    <row r="16" spans="1:26" ht="15" customHeight="1" x14ac:dyDescent="0.25">
      <c r="A16" s="138" t="s">
        <v>46</v>
      </c>
      <c r="B16" s="119"/>
      <c r="C16" s="144" t="s">
        <v>47</v>
      </c>
      <c r="D16" s="119"/>
      <c r="E16" s="119"/>
      <c r="F16" s="39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FormSampel!I26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20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FormSampel!I27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20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FormSampel!I28</f>
        <v>0</v>
      </c>
      <c r="D26" s="30" t="s">
        <v>50</v>
      </c>
      <c r="E26" s="36">
        <v>1000</v>
      </c>
      <c r="F26" s="121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61">
        <f>C26/1000</f>
        <v>0</v>
      </c>
      <c r="D27" s="123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FormSampel!I29</f>
        <v>0</v>
      </c>
      <c r="D29" s="30" t="s">
        <v>50</v>
      </c>
      <c r="E29" s="36">
        <v>1000</v>
      </c>
      <c r="F29" s="124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20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7" t="s">
        <v>57</v>
      </c>
      <c r="B31" s="12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8" t="s">
        <v>59</v>
      </c>
      <c r="C32" s="119"/>
      <c r="D32" s="119"/>
      <c r="E32" s="129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9"/>
      <c r="F33" s="21"/>
      <c r="G33" s="1"/>
      <c r="H33" s="1"/>
      <c r="I33" s="1"/>
      <c r="J33" s="16"/>
    </row>
    <row r="34" spans="1:26" ht="15.75" customHeight="1" x14ac:dyDescent="0.25">
      <c r="A34" s="22"/>
      <c r="B34" s="158" t="s">
        <v>60</v>
      </c>
      <c r="C34" s="119"/>
      <c r="D34" s="119"/>
      <c r="E34" s="129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9" t="s">
        <v>61</v>
      </c>
      <c r="B38" s="126"/>
      <c r="C38" s="126"/>
      <c r="D38" s="126"/>
      <c r="E38" s="127"/>
      <c r="F38" s="146" t="str">
        <f>FormSampel!B19</f>
        <v xml:space="preserve">    IQBAL    NORDIYANA    MAISARAH</v>
      </c>
      <c r="G38" s="147"/>
      <c r="H38" s="150">
        <f>FormSampel!B20</f>
        <v>45301</v>
      </c>
      <c r="I38" s="150"/>
      <c r="J38" s="151"/>
    </row>
    <row r="39" spans="1:26" ht="11.25" customHeight="1" x14ac:dyDescent="0.25">
      <c r="A39" s="155"/>
      <c r="B39" s="156"/>
      <c r="C39" s="156"/>
      <c r="D39" s="156"/>
      <c r="E39" s="160"/>
      <c r="F39" s="148"/>
      <c r="G39" s="149"/>
      <c r="H39" s="152"/>
      <c r="I39" s="152"/>
      <c r="J39" s="153"/>
    </row>
    <row r="40" spans="1:26" ht="15.75" customHeight="1" x14ac:dyDescent="0.25">
      <c r="A40" s="154" t="s">
        <v>62</v>
      </c>
      <c r="B40" s="126"/>
      <c r="C40" s="126"/>
      <c r="D40" s="126"/>
      <c r="E40" s="126"/>
      <c r="F40" s="27"/>
      <c r="G40" s="23"/>
      <c r="H40" s="23"/>
      <c r="I40" s="23"/>
      <c r="J40" s="16"/>
    </row>
    <row r="41" spans="1:26" ht="11.25" customHeight="1" x14ac:dyDescent="0.25">
      <c r="A41" s="155"/>
      <c r="B41" s="156"/>
      <c r="C41" s="156"/>
      <c r="D41" s="156"/>
      <c r="E41" s="156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27F2B-E932-415A-B2D8-76800FD093EC}">
  <sheetPr codeName="Sheet7"/>
  <dimension ref="A1:Z579"/>
  <sheetViews>
    <sheetView view="pageLayout" topLeftCell="A20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FormSampel!G31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011024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26"/>
      <c r="C7" s="137" t="s">
        <v>7</v>
      </c>
      <c r="D7" s="126"/>
      <c r="E7" s="126"/>
      <c r="F7" s="2" t="s">
        <v>8</v>
      </c>
      <c r="G7" s="125" t="s">
        <v>9</v>
      </c>
      <c r="H7" s="126"/>
      <c r="I7" s="126"/>
      <c r="J7" s="127"/>
    </row>
    <row r="8" spans="1:26" ht="15" customHeight="1" x14ac:dyDescent="0.25">
      <c r="A8" s="138" t="s">
        <v>10</v>
      </c>
      <c r="B8" s="119"/>
      <c r="C8" s="139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28"/>
      <c r="J8" s="129"/>
    </row>
    <row r="9" spans="1:26" ht="30" customHeight="1" x14ac:dyDescent="0.25">
      <c r="A9" s="140" t="s">
        <v>15</v>
      </c>
      <c r="B9" s="119"/>
      <c r="C9" s="139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8" t="s">
        <v>20</v>
      </c>
      <c r="B10" s="119"/>
      <c r="C10" s="139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0" t="s">
        <v>25</v>
      </c>
      <c r="B11" s="119"/>
      <c r="C11" s="14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8" t="s">
        <v>30</v>
      </c>
      <c r="B12" s="119"/>
      <c r="C12" s="139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8" t="s">
        <v>35</v>
      </c>
      <c r="B13" s="119"/>
      <c r="C13" s="139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8" t="s">
        <v>40</v>
      </c>
      <c r="B14" s="119"/>
      <c r="C14" s="139" t="s">
        <v>41</v>
      </c>
      <c r="D14" s="119"/>
      <c r="E14" s="7"/>
      <c r="F14" s="141" t="s">
        <v>42</v>
      </c>
      <c r="G14" s="119"/>
      <c r="H14" s="119"/>
      <c r="I14" s="142" t="s">
        <v>43</v>
      </c>
      <c r="J14" s="129"/>
    </row>
    <row r="15" spans="1:26" ht="15" customHeight="1" x14ac:dyDescent="0.25">
      <c r="A15" s="138" t="s">
        <v>44</v>
      </c>
      <c r="B15" s="119"/>
      <c r="C15" s="139" t="s">
        <v>45</v>
      </c>
      <c r="D15" s="119"/>
      <c r="E15" s="7"/>
      <c r="F15" s="38" t="s">
        <v>74</v>
      </c>
      <c r="G15" s="145" t="str">
        <f>FormSampel!B14</f>
        <v>HC 16350373 - 2</v>
      </c>
      <c r="H15" s="145"/>
      <c r="I15" s="99">
        <f>FormSampel!C14</f>
        <v>45808</v>
      </c>
      <c r="J15" s="100"/>
    </row>
    <row r="16" spans="1:26" ht="15" customHeight="1" x14ac:dyDescent="0.25">
      <c r="A16" s="138" t="s">
        <v>46</v>
      </c>
      <c r="B16" s="119"/>
      <c r="C16" s="144" t="s">
        <v>47</v>
      </c>
      <c r="D16" s="119"/>
      <c r="E16" s="119"/>
      <c r="F16" s="39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FormSampel!I31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20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FormSampel!I32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20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FormSampel!I33</f>
        <v>0</v>
      </c>
      <c r="D26" s="30" t="s">
        <v>50</v>
      </c>
      <c r="E26" s="36">
        <v>1000</v>
      </c>
      <c r="F26" s="121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61">
        <f>C26/1000</f>
        <v>0</v>
      </c>
      <c r="D27" s="123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FormSampel!I34</f>
        <v>0</v>
      </c>
      <c r="D29" s="30" t="s">
        <v>50</v>
      </c>
      <c r="E29" s="36">
        <v>1000</v>
      </c>
      <c r="F29" s="124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20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7" t="s">
        <v>57</v>
      </c>
      <c r="B31" s="12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8" t="s">
        <v>59</v>
      </c>
      <c r="C32" s="119"/>
      <c r="D32" s="119"/>
      <c r="E32" s="129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9"/>
      <c r="F33" s="21"/>
      <c r="G33" s="1"/>
      <c r="H33" s="1"/>
      <c r="I33" s="1"/>
      <c r="J33" s="16"/>
    </row>
    <row r="34" spans="1:26" ht="15.75" customHeight="1" x14ac:dyDescent="0.25">
      <c r="A34" s="22"/>
      <c r="B34" s="158" t="s">
        <v>60</v>
      </c>
      <c r="C34" s="119"/>
      <c r="D34" s="119"/>
      <c r="E34" s="129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9" t="s">
        <v>61</v>
      </c>
      <c r="B38" s="126"/>
      <c r="C38" s="126"/>
      <c r="D38" s="126"/>
      <c r="E38" s="127"/>
      <c r="F38" s="146" t="str">
        <f>FormSampel!B19</f>
        <v xml:space="preserve">    IQBAL    NORDIYANA    MAISARAH</v>
      </c>
      <c r="G38" s="147"/>
      <c r="H38" s="150">
        <f>FormSampel!B20</f>
        <v>45301</v>
      </c>
      <c r="I38" s="150"/>
      <c r="J38" s="151"/>
    </row>
    <row r="39" spans="1:26" ht="11.25" customHeight="1" x14ac:dyDescent="0.25">
      <c r="A39" s="155"/>
      <c r="B39" s="156"/>
      <c r="C39" s="156"/>
      <c r="D39" s="156"/>
      <c r="E39" s="160"/>
      <c r="F39" s="148"/>
      <c r="G39" s="149"/>
      <c r="H39" s="152"/>
      <c r="I39" s="152"/>
      <c r="J39" s="153"/>
    </row>
    <row r="40" spans="1:26" ht="15.75" customHeight="1" x14ac:dyDescent="0.25">
      <c r="A40" s="154" t="s">
        <v>62</v>
      </c>
      <c r="B40" s="126"/>
      <c r="C40" s="126"/>
      <c r="D40" s="126"/>
      <c r="E40" s="126"/>
      <c r="F40" s="27"/>
      <c r="G40" s="23"/>
      <c r="H40" s="23"/>
      <c r="I40" s="23"/>
      <c r="J40" s="16"/>
    </row>
    <row r="41" spans="1:26" ht="11.25" customHeight="1" x14ac:dyDescent="0.25">
      <c r="A41" s="155"/>
      <c r="B41" s="156"/>
      <c r="C41" s="156"/>
      <c r="D41" s="156"/>
      <c r="E41" s="156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04DB7-A2ED-48E9-82FD-894C9EA51ED2}">
  <sheetPr codeName="Sheet8"/>
  <dimension ref="A1:Z579"/>
  <sheetViews>
    <sheetView view="pageLayout" topLeftCell="A26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FormSampel!G36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011024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26"/>
      <c r="C7" s="137" t="s">
        <v>7</v>
      </c>
      <c r="D7" s="126"/>
      <c r="E7" s="126"/>
      <c r="F7" s="2" t="s">
        <v>8</v>
      </c>
      <c r="G7" s="125" t="s">
        <v>9</v>
      </c>
      <c r="H7" s="126"/>
      <c r="I7" s="126"/>
      <c r="J7" s="127"/>
    </row>
    <row r="8" spans="1:26" ht="15" customHeight="1" x14ac:dyDescent="0.25">
      <c r="A8" s="138" t="s">
        <v>10</v>
      </c>
      <c r="B8" s="119"/>
      <c r="C8" s="139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28"/>
      <c r="J8" s="129"/>
    </row>
    <row r="9" spans="1:26" ht="30" customHeight="1" x14ac:dyDescent="0.25">
      <c r="A9" s="140" t="s">
        <v>15</v>
      </c>
      <c r="B9" s="119"/>
      <c r="C9" s="139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8" t="s">
        <v>20</v>
      </c>
      <c r="B10" s="119"/>
      <c r="C10" s="139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0" t="s">
        <v>25</v>
      </c>
      <c r="B11" s="119"/>
      <c r="C11" s="14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8" t="s">
        <v>30</v>
      </c>
      <c r="B12" s="119"/>
      <c r="C12" s="139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8" t="s">
        <v>35</v>
      </c>
      <c r="B13" s="119"/>
      <c r="C13" s="139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8" t="s">
        <v>40</v>
      </c>
      <c r="B14" s="119"/>
      <c r="C14" s="139" t="s">
        <v>41</v>
      </c>
      <c r="D14" s="119"/>
      <c r="E14" s="7"/>
      <c r="F14" s="141" t="s">
        <v>42</v>
      </c>
      <c r="G14" s="119"/>
      <c r="H14" s="119"/>
      <c r="I14" s="142" t="s">
        <v>43</v>
      </c>
      <c r="J14" s="129"/>
    </row>
    <row r="15" spans="1:26" ht="15" customHeight="1" x14ac:dyDescent="0.25">
      <c r="A15" s="138" t="s">
        <v>44</v>
      </c>
      <c r="B15" s="119"/>
      <c r="C15" s="139" t="s">
        <v>45</v>
      </c>
      <c r="D15" s="119"/>
      <c r="E15" s="7"/>
      <c r="F15" s="38" t="s">
        <v>74</v>
      </c>
      <c r="G15" s="145" t="str">
        <f>FormSampel!B14</f>
        <v>HC 16350373 - 2</v>
      </c>
      <c r="H15" s="145"/>
      <c r="I15" s="99">
        <f>FormSampel!C14</f>
        <v>45808</v>
      </c>
      <c r="J15" s="100"/>
    </row>
    <row r="16" spans="1:26" ht="15" customHeight="1" x14ac:dyDescent="0.25">
      <c r="A16" s="138" t="s">
        <v>46</v>
      </c>
      <c r="B16" s="119"/>
      <c r="C16" s="144" t="s">
        <v>47</v>
      </c>
      <c r="D16" s="119"/>
      <c r="E16" s="119"/>
      <c r="F16" s="39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FormSampel!I36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20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FormSampel!I37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20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FormSampel!I38</f>
        <v>0</v>
      </c>
      <c r="D26" s="30" t="s">
        <v>50</v>
      </c>
      <c r="E26" s="36">
        <v>1000</v>
      </c>
      <c r="F26" s="121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61">
        <f>C26/1000</f>
        <v>0</v>
      </c>
      <c r="D27" s="123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FormSampel!I39</f>
        <v>0</v>
      </c>
      <c r="D29" s="30" t="s">
        <v>50</v>
      </c>
      <c r="E29" s="36">
        <v>1000</v>
      </c>
      <c r="F29" s="124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20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7" t="s">
        <v>57</v>
      </c>
      <c r="B31" s="12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8" t="s">
        <v>59</v>
      </c>
      <c r="C32" s="119"/>
      <c r="D32" s="119"/>
      <c r="E32" s="129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9"/>
      <c r="F33" s="21"/>
      <c r="G33" s="1"/>
      <c r="H33" s="1"/>
      <c r="I33" s="1"/>
      <c r="J33" s="16"/>
    </row>
    <row r="34" spans="1:26" ht="15.75" customHeight="1" x14ac:dyDescent="0.25">
      <c r="A34" s="22"/>
      <c r="B34" s="158" t="s">
        <v>60</v>
      </c>
      <c r="C34" s="119"/>
      <c r="D34" s="119"/>
      <c r="E34" s="129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9" t="s">
        <v>61</v>
      </c>
      <c r="B38" s="126"/>
      <c r="C38" s="126"/>
      <c r="D38" s="126"/>
      <c r="E38" s="127"/>
      <c r="F38" s="146" t="str">
        <f>FormSampel!B19</f>
        <v xml:space="preserve">    IQBAL    NORDIYANA    MAISARAH</v>
      </c>
      <c r="G38" s="147"/>
      <c r="H38" s="150">
        <f>FormSampel!B20</f>
        <v>45301</v>
      </c>
      <c r="I38" s="150"/>
      <c r="J38" s="151"/>
    </row>
    <row r="39" spans="1:26" ht="11.25" customHeight="1" x14ac:dyDescent="0.25">
      <c r="A39" s="155"/>
      <c r="B39" s="156"/>
      <c r="C39" s="156"/>
      <c r="D39" s="156"/>
      <c r="E39" s="160"/>
      <c r="F39" s="148"/>
      <c r="G39" s="149"/>
      <c r="H39" s="152"/>
      <c r="I39" s="152"/>
      <c r="J39" s="153"/>
    </row>
    <row r="40" spans="1:26" ht="15.75" customHeight="1" x14ac:dyDescent="0.25">
      <c r="A40" s="154" t="s">
        <v>62</v>
      </c>
      <c r="B40" s="126"/>
      <c r="C40" s="126"/>
      <c r="D40" s="126"/>
      <c r="E40" s="126"/>
      <c r="F40" s="27"/>
      <c r="G40" s="23"/>
      <c r="H40" s="23"/>
      <c r="I40" s="23"/>
      <c r="J40" s="16"/>
    </row>
    <row r="41" spans="1:26" ht="11.25" customHeight="1" x14ac:dyDescent="0.25">
      <c r="A41" s="155"/>
      <c r="B41" s="156"/>
      <c r="C41" s="156"/>
      <c r="D41" s="156"/>
      <c r="E41" s="156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F4E2D-318D-45CF-BF35-DBCA876EC217}">
  <sheetPr codeName="Sheet9"/>
  <dimension ref="A1:Z579"/>
  <sheetViews>
    <sheetView view="pageLayout" topLeftCell="A19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FormSampel!G41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011024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26"/>
      <c r="C7" s="137" t="s">
        <v>7</v>
      </c>
      <c r="D7" s="126"/>
      <c r="E7" s="126"/>
      <c r="F7" s="2" t="s">
        <v>8</v>
      </c>
      <c r="G7" s="125" t="s">
        <v>9</v>
      </c>
      <c r="H7" s="126"/>
      <c r="I7" s="126"/>
      <c r="J7" s="127"/>
    </row>
    <row r="8" spans="1:26" ht="15" customHeight="1" x14ac:dyDescent="0.25">
      <c r="A8" s="138" t="s">
        <v>10</v>
      </c>
      <c r="B8" s="119"/>
      <c r="C8" s="139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28"/>
      <c r="J8" s="129"/>
    </row>
    <row r="9" spans="1:26" ht="30" customHeight="1" x14ac:dyDescent="0.25">
      <c r="A9" s="140" t="s">
        <v>15</v>
      </c>
      <c r="B9" s="119"/>
      <c r="C9" s="139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8" t="s">
        <v>20</v>
      </c>
      <c r="B10" s="119"/>
      <c r="C10" s="139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0" t="s">
        <v>25</v>
      </c>
      <c r="B11" s="119"/>
      <c r="C11" s="14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8" t="s">
        <v>30</v>
      </c>
      <c r="B12" s="119"/>
      <c r="C12" s="139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8" t="s">
        <v>35</v>
      </c>
      <c r="B13" s="119"/>
      <c r="C13" s="139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8" t="s">
        <v>40</v>
      </c>
      <c r="B14" s="119"/>
      <c r="C14" s="139" t="s">
        <v>41</v>
      </c>
      <c r="D14" s="119"/>
      <c r="E14" s="7"/>
      <c r="F14" s="141" t="s">
        <v>42</v>
      </c>
      <c r="G14" s="119"/>
      <c r="H14" s="119"/>
      <c r="I14" s="142" t="s">
        <v>43</v>
      </c>
      <c r="J14" s="129"/>
    </row>
    <row r="15" spans="1:26" ht="15" customHeight="1" x14ac:dyDescent="0.25">
      <c r="A15" s="138" t="s">
        <v>44</v>
      </c>
      <c r="B15" s="119"/>
      <c r="C15" s="139" t="s">
        <v>45</v>
      </c>
      <c r="D15" s="119"/>
      <c r="E15" s="7"/>
      <c r="F15" s="38" t="s">
        <v>74</v>
      </c>
      <c r="G15" s="145" t="str">
        <f>FormSampel!B14</f>
        <v>HC 16350373 - 2</v>
      </c>
      <c r="H15" s="145"/>
      <c r="I15" s="99">
        <f>FormSampel!C14</f>
        <v>45808</v>
      </c>
      <c r="J15" s="100"/>
    </row>
    <row r="16" spans="1:26" ht="15" customHeight="1" x14ac:dyDescent="0.25">
      <c r="A16" s="138" t="s">
        <v>46</v>
      </c>
      <c r="B16" s="119"/>
      <c r="C16" s="144" t="s">
        <v>47</v>
      </c>
      <c r="D16" s="119"/>
      <c r="E16" s="119"/>
      <c r="F16" s="39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FormSampel!I41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20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FormSampel!I42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20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FormSampel!I43</f>
        <v>0</v>
      </c>
      <c r="D26" s="30" t="s">
        <v>50</v>
      </c>
      <c r="E26" s="36">
        <v>1000</v>
      </c>
      <c r="F26" s="121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61">
        <f>C26/1000</f>
        <v>0</v>
      </c>
      <c r="D27" s="123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FormSampel!I44</f>
        <v>0</v>
      </c>
      <c r="D29" s="30" t="s">
        <v>50</v>
      </c>
      <c r="E29" s="36">
        <v>1000</v>
      </c>
      <c r="F29" s="124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20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7" t="s">
        <v>57</v>
      </c>
      <c r="B31" s="12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8" t="s">
        <v>59</v>
      </c>
      <c r="C32" s="119"/>
      <c r="D32" s="119"/>
      <c r="E32" s="129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9"/>
      <c r="F33" s="21"/>
      <c r="G33" s="1"/>
      <c r="H33" s="1"/>
      <c r="I33" s="1"/>
      <c r="J33" s="16"/>
    </row>
    <row r="34" spans="1:26" ht="15.75" customHeight="1" x14ac:dyDescent="0.25">
      <c r="A34" s="22"/>
      <c r="B34" s="158" t="s">
        <v>60</v>
      </c>
      <c r="C34" s="119"/>
      <c r="D34" s="119"/>
      <c r="E34" s="129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9" t="s">
        <v>61</v>
      </c>
      <c r="B38" s="126"/>
      <c r="C38" s="126"/>
      <c r="D38" s="126"/>
      <c r="E38" s="127"/>
      <c r="F38" s="146" t="str">
        <f>FormSampel!B19</f>
        <v xml:space="preserve">    IQBAL    NORDIYANA    MAISARAH</v>
      </c>
      <c r="G38" s="147"/>
      <c r="H38" s="150">
        <f>FormSampel!B20</f>
        <v>45301</v>
      </c>
      <c r="I38" s="150"/>
      <c r="J38" s="151"/>
    </row>
    <row r="39" spans="1:26" ht="11.25" customHeight="1" x14ac:dyDescent="0.25">
      <c r="A39" s="155"/>
      <c r="B39" s="156"/>
      <c r="C39" s="156"/>
      <c r="D39" s="156"/>
      <c r="E39" s="160"/>
      <c r="F39" s="148"/>
      <c r="G39" s="149"/>
      <c r="H39" s="152"/>
      <c r="I39" s="152"/>
      <c r="J39" s="153"/>
    </row>
    <row r="40" spans="1:26" ht="15.75" customHeight="1" x14ac:dyDescent="0.25">
      <c r="A40" s="154" t="s">
        <v>62</v>
      </c>
      <c r="B40" s="126"/>
      <c r="C40" s="126"/>
      <c r="D40" s="126"/>
      <c r="E40" s="126"/>
      <c r="F40" s="27"/>
      <c r="G40" s="23"/>
      <c r="H40" s="23"/>
      <c r="I40" s="23"/>
      <c r="J40" s="16"/>
    </row>
    <row r="41" spans="1:26" ht="11.25" customHeight="1" x14ac:dyDescent="0.25">
      <c r="A41" s="155"/>
      <c r="B41" s="156"/>
      <c r="C41" s="156"/>
      <c r="D41" s="156"/>
      <c r="E41" s="156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B58967-CA84-4A06-B720-1CD0FBBE3DF1}">
  <sheetPr codeName="Sheet10"/>
  <dimension ref="A1:Z579"/>
  <sheetViews>
    <sheetView view="pageLayout" topLeftCell="A24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FormSampel!G46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011024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26"/>
      <c r="C7" s="137" t="s">
        <v>7</v>
      </c>
      <c r="D7" s="126"/>
      <c r="E7" s="126"/>
      <c r="F7" s="2" t="s">
        <v>8</v>
      </c>
      <c r="G7" s="125" t="s">
        <v>9</v>
      </c>
      <c r="H7" s="126"/>
      <c r="I7" s="126"/>
      <c r="J7" s="127"/>
    </row>
    <row r="8" spans="1:26" ht="15" customHeight="1" x14ac:dyDescent="0.25">
      <c r="A8" s="138" t="s">
        <v>10</v>
      </c>
      <c r="B8" s="119"/>
      <c r="C8" s="139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28"/>
      <c r="J8" s="129"/>
    </row>
    <row r="9" spans="1:26" ht="30" customHeight="1" x14ac:dyDescent="0.25">
      <c r="A9" s="140" t="s">
        <v>15</v>
      </c>
      <c r="B9" s="119"/>
      <c r="C9" s="139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8" t="s">
        <v>20</v>
      </c>
      <c r="B10" s="119"/>
      <c r="C10" s="139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0" t="s">
        <v>25</v>
      </c>
      <c r="B11" s="119"/>
      <c r="C11" s="14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8" t="s">
        <v>30</v>
      </c>
      <c r="B12" s="119"/>
      <c r="C12" s="139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8" t="s">
        <v>35</v>
      </c>
      <c r="B13" s="119"/>
      <c r="C13" s="139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8" t="s">
        <v>40</v>
      </c>
      <c r="B14" s="119"/>
      <c r="C14" s="139" t="s">
        <v>41</v>
      </c>
      <c r="D14" s="119"/>
      <c r="E14" s="7"/>
      <c r="F14" s="141" t="s">
        <v>42</v>
      </c>
      <c r="G14" s="119"/>
      <c r="H14" s="119"/>
      <c r="I14" s="142" t="s">
        <v>43</v>
      </c>
      <c r="J14" s="129"/>
    </row>
    <row r="15" spans="1:26" ht="15" customHeight="1" x14ac:dyDescent="0.25">
      <c r="A15" s="138" t="s">
        <v>44</v>
      </c>
      <c r="B15" s="119"/>
      <c r="C15" s="139" t="s">
        <v>45</v>
      </c>
      <c r="D15" s="119"/>
      <c r="E15" s="7"/>
      <c r="F15" s="38" t="s">
        <v>74</v>
      </c>
      <c r="G15" s="145" t="str">
        <f>FormSampel!B14</f>
        <v>HC 16350373 - 2</v>
      </c>
      <c r="H15" s="145"/>
      <c r="I15" s="99">
        <f>FormSampel!C14</f>
        <v>45808</v>
      </c>
      <c r="J15" s="100"/>
    </row>
    <row r="16" spans="1:26" ht="15" customHeight="1" x14ac:dyDescent="0.25">
      <c r="A16" s="138" t="s">
        <v>46</v>
      </c>
      <c r="B16" s="119"/>
      <c r="C16" s="144" t="s">
        <v>47</v>
      </c>
      <c r="D16" s="119"/>
      <c r="E16" s="119"/>
      <c r="F16" s="39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FormSampel!I46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20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FormSampel!I47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20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FormSampel!I48</f>
        <v>0</v>
      </c>
      <c r="D26" s="30" t="s">
        <v>50</v>
      </c>
      <c r="E26" s="36">
        <v>1000</v>
      </c>
      <c r="F26" s="121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61">
        <f>C26/1000</f>
        <v>0</v>
      </c>
      <c r="D27" s="123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FormSampel!I49</f>
        <v>0</v>
      </c>
      <c r="D29" s="30" t="s">
        <v>50</v>
      </c>
      <c r="E29" s="36">
        <v>1000</v>
      </c>
      <c r="F29" s="124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20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7" t="s">
        <v>57</v>
      </c>
      <c r="B31" s="12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8" t="s">
        <v>59</v>
      </c>
      <c r="C32" s="119"/>
      <c r="D32" s="119"/>
      <c r="E32" s="129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9"/>
      <c r="F33" s="21"/>
      <c r="G33" s="1"/>
      <c r="H33" s="1"/>
      <c r="I33" s="1"/>
      <c r="J33" s="16"/>
    </row>
    <row r="34" spans="1:26" ht="15.75" customHeight="1" x14ac:dyDescent="0.25">
      <c r="A34" s="22"/>
      <c r="B34" s="158" t="s">
        <v>60</v>
      </c>
      <c r="C34" s="119"/>
      <c r="D34" s="119"/>
      <c r="E34" s="129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9" t="s">
        <v>61</v>
      </c>
      <c r="B38" s="126"/>
      <c r="C38" s="126"/>
      <c r="D38" s="126"/>
      <c r="E38" s="127"/>
      <c r="F38" s="146" t="str">
        <f>FormSampel!B19</f>
        <v xml:space="preserve">    IQBAL    NORDIYANA    MAISARAH</v>
      </c>
      <c r="G38" s="147"/>
      <c r="H38" s="150">
        <f>FormSampel!B20</f>
        <v>45301</v>
      </c>
      <c r="I38" s="150"/>
      <c r="J38" s="151"/>
    </row>
    <row r="39" spans="1:26" ht="11.25" customHeight="1" x14ac:dyDescent="0.25">
      <c r="A39" s="155"/>
      <c r="B39" s="156"/>
      <c r="C39" s="156"/>
      <c r="D39" s="156"/>
      <c r="E39" s="160"/>
      <c r="F39" s="148"/>
      <c r="G39" s="149"/>
      <c r="H39" s="152"/>
      <c r="I39" s="152"/>
      <c r="J39" s="153"/>
    </row>
    <row r="40" spans="1:26" ht="15.75" customHeight="1" x14ac:dyDescent="0.25">
      <c r="A40" s="154" t="s">
        <v>62</v>
      </c>
      <c r="B40" s="126"/>
      <c r="C40" s="126"/>
      <c r="D40" s="126"/>
      <c r="E40" s="126"/>
      <c r="F40" s="27"/>
      <c r="G40" s="23"/>
      <c r="H40" s="23"/>
      <c r="I40" s="23"/>
      <c r="J40" s="16"/>
    </row>
    <row r="41" spans="1:26" ht="11.25" customHeight="1" x14ac:dyDescent="0.25">
      <c r="A41" s="155"/>
      <c r="B41" s="156"/>
      <c r="C41" s="156"/>
      <c r="D41" s="156"/>
      <c r="E41" s="156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48611-4006-4C4F-8C13-7700C0011649}">
  <sheetPr codeName="Sheet11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FormSampel!G51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011024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26"/>
      <c r="C7" s="137" t="s">
        <v>7</v>
      </c>
      <c r="D7" s="126"/>
      <c r="E7" s="126"/>
      <c r="F7" s="2" t="s">
        <v>8</v>
      </c>
      <c r="G7" s="125" t="s">
        <v>9</v>
      </c>
      <c r="H7" s="126"/>
      <c r="I7" s="126"/>
      <c r="J7" s="127"/>
    </row>
    <row r="8" spans="1:26" ht="15" customHeight="1" x14ac:dyDescent="0.25">
      <c r="A8" s="138" t="s">
        <v>10</v>
      </c>
      <c r="B8" s="119"/>
      <c r="C8" s="139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28"/>
      <c r="J8" s="129"/>
    </row>
    <row r="9" spans="1:26" ht="30" customHeight="1" x14ac:dyDescent="0.25">
      <c r="A9" s="140" t="s">
        <v>15</v>
      </c>
      <c r="B9" s="119"/>
      <c r="C9" s="139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8" t="s">
        <v>20</v>
      </c>
      <c r="B10" s="119"/>
      <c r="C10" s="139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0" t="s">
        <v>25</v>
      </c>
      <c r="B11" s="119"/>
      <c r="C11" s="14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8" t="s">
        <v>30</v>
      </c>
      <c r="B12" s="119"/>
      <c r="C12" s="139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8" t="s">
        <v>35</v>
      </c>
      <c r="B13" s="119"/>
      <c r="C13" s="139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8" t="s">
        <v>40</v>
      </c>
      <c r="B14" s="119"/>
      <c r="C14" s="139" t="s">
        <v>41</v>
      </c>
      <c r="D14" s="119"/>
      <c r="E14" s="7"/>
      <c r="F14" s="141" t="s">
        <v>42</v>
      </c>
      <c r="G14" s="119"/>
      <c r="H14" s="119"/>
      <c r="I14" s="142" t="s">
        <v>43</v>
      </c>
      <c r="J14" s="129"/>
    </row>
    <row r="15" spans="1:26" ht="15" customHeight="1" x14ac:dyDescent="0.25">
      <c r="A15" s="138" t="s">
        <v>44</v>
      </c>
      <c r="B15" s="119"/>
      <c r="C15" s="139" t="s">
        <v>45</v>
      </c>
      <c r="D15" s="119"/>
      <c r="E15" s="7"/>
      <c r="F15" s="38" t="s">
        <v>74</v>
      </c>
      <c r="G15" s="145" t="str">
        <f>FormSampel!B14</f>
        <v>HC 16350373 - 2</v>
      </c>
      <c r="H15" s="145"/>
      <c r="I15" s="99">
        <f>FormSampel!C14</f>
        <v>45808</v>
      </c>
      <c r="J15" s="100"/>
    </row>
    <row r="16" spans="1:26" ht="15" customHeight="1" x14ac:dyDescent="0.25">
      <c r="A16" s="138" t="s">
        <v>46</v>
      </c>
      <c r="B16" s="119"/>
      <c r="C16" s="144" t="s">
        <v>47</v>
      </c>
      <c r="D16" s="119"/>
      <c r="E16" s="119"/>
      <c r="F16" s="39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FormSampel!I51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20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FormSampel!I52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20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FormSampel!I53</f>
        <v>0</v>
      </c>
      <c r="D26" s="30" t="s">
        <v>50</v>
      </c>
      <c r="E26" s="36">
        <v>1000</v>
      </c>
      <c r="F26" s="121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61">
        <f>C26/1000</f>
        <v>0</v>
      </c>
      <c r="D27" s="123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FormSampel!I54</f>
        <v>0</v>
      </c>
      <c r="D29" s="30" t="s">
        <v>50</v>
      </c>
      <c r="E29" s="36">
        <v>1000</v>
      </c>
      <c r="F29" s="124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20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7" t="s">
        <v>57</v>
      </c>
      <c r="B31" s="12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8" t="s">
        <v>59</v>
      </c>
      <c r="C32" s="119"/>
      <c r="D32" s="119"/>
      <c r="E32" s="129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9"/>
      <c r="F33" s="21"/>
      <c r="G33" s="1"/>
      <c r="H33" s="1"/>
      <c r="I33" s="1"/>
      <c r="J33" s="16"/>
    </row>
    <row r="34" spans="1:26" ht="15.75" customHeight="1" x14ac:dyDescent="0.25">
      <c r="A34" s="22"/>
      <c r="B34" s="158" t="s">
        <v>60</v>
      </c>
      <c r="C34" s="119"/>
      <c r="D34" s="119"/>
      <c r="E34" s="129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9" t="s">
        <v>61</v>
      </c>
      <c r="B38" s="126"/>
      <c r="C38" s="126"/>
      <c r="D38" s="126"/>
      <c r="E38" s="127"/>
      <c r="F38" s="146" t="str">
        <f>FormSampel!B19</f>
        <v xml:space="preserve">    IQBAL    NORDIYANA    MAISARAH</v>
      </c>
      <c r="G38" s="147"/>
      <c r="H38" s="150">
        <f>FormSampel!B20</f>
        <v>45301</v>
      </c>
      <c r="I38" s="150"/>
      <c r="J38" s="151"/>
    </row>
    <row r="39" spans="1:26" ht="11.25" customHeight="1" x14ac:dyDescent="0.25">
      <c r="A39" s="155"/>
      <c r="B39" s="156"/>
      <c r="C39" s="156"/>
      <c r="D39" s="156"/>
      <c r="E39" s="160"/>
      <c r="F39" s="148"/>
      <c r="G39" s="149"/>
      <c r="H39" s="152"/>
      <c r="I39" s="152"/>
      <c r="J39" s="153"/>
    </row>
    <row r="40" spans="1:26" ht="15.75" customHeight="1" x14ac:dyDescent="0.25">
      <c r="A40" s="154" t="s">
        <v>62</v>
      </c>
      <c r="B40" s="126"/>
      <c r="C40" s="126"/>
      <c r="D40" s="126"/>
      <c r="E40" s="126"/>
      <c r="F40" s="27"/>
      <c r="G40" s="23"/>
      <c r="H40" s="23"/>
      <c r="I40" s="23"/>
      <c r="J40" s="16"/>
    </row>
    <row r="41" spans="1:26" ht="11.25" customHeight="1" x14ac:dyDescent="0.25">
      <c r="A41" s="155"/>
      <c r="B41" s="156"/>
      <c r="C41" s="156"/>
      <c r="D41" s="156"/>
      <c r="E41" s="156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0319-335B-4064-A4C9-D287C6465C61}">
  <sheetPr codeName="Sheet12"/>
  <dimension ref="A1:Z579"/>
  <sheetViews>
    <sheetView view="pageLayout" zoomScale="112" zoomScaleNormal="100" zoomScalePageLayoutView="112" workbookViewId="0">
      <selection activeCell="M9" sqref="M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FormSampel!G56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011024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26"/>
      <c r="C7" s="137" t="s">
        <v>7</v>
      </c>
      <c r="D7" s="126"/>
      <c r="E7" s="126"/>
      <c r="F7" s="2" t="s">
        <v>8</v>
      </c>
      <c r="G7" s="125" t="s">
        <v>9</v>
      </c>
      <c r="H7" s="126"/>
      <c r="I7" s="126"/>
      <c r="J7" s="127"/>
    </row>
    <row r="8" spans="1:26" ht="15" customHeight="1" x14ac:dyDescent="0.25">
      <c r="A8" s="138" t="s">
        <v>10</v>
      </c>
      <c r="B8" s="119"/>
      <c r="C8" s="139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28"/>
      <c r="J8" s="129"/>
    </row>
    <row r="9" spans="1:26" ht="30" customHeight="1" x14ac:dyDescent="0.25">
      <c r="A9" s="140" t="s">
        <v>15</v>
      </c>
      <c r="B9" s="119"/>
      <c r="C9" s="139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8" t="s">
        <v>20</v>
      </c>
      <c r="B10" s="119"/>
      <c r="C10" s="139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0" t="s">
        <v>25</v>
      </c>
      <c r="B11" s="119"/>
      <c r="C11" s="14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8" t="s">
        <v>30</v>
      </c>
      <c r="B12" s="119"/>
      <c r="C12" s="139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8" t="s">
        <v>35</v>
      </c>
      <c r="B13" s="119"/>
      <c r="C13" s="139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8" t="s">
        <v>40</v>
      </c>
      <c r="B14" s="119"/>
      <c r="C14" s="139" t="s">
        <v>41</v>
      </c>
      <c r="D14" s="119"/>
      <c r="E14" s="7"/>
      <c r="F14" s="141" t="s">
        <v>42</v>
      </c>
      <c r="G14" s="119"/>
      <c r="H14" s="119"/>
      <c r="I14" s="142" t="s">
        <v>43</v>
      </c>
      <c r="J14" s="129"/>
    </row>
    <row r="15" spans="1:26" ht="15" customHeight="1" x14ac:dyDescent="0.25">
      <c r="A15" s="138" t="s">
        <v>44</v>
      </c>
      <c r="B15" s="119"/>
      <c r="C15" s="139" t="s">
        <v>45</v>
      </c>
      <c r="D15" s="119"/>
      <c r="E15" s="7"/>
      <c r="F15" s="38" t="s">
        <v>74</v>
      </c>
      <c r="G15" s="145" t="str">
        <f>FormSampel!B14</f>
        <v>HC 16350373 - 2</v>
      </c>
      <c r="H15" s="145"/>
      <c r="I15" s="99">
        <f>FormSampel!C14</f>
        <v>45808</v>
      </c>
      <c r="J15" s="100"/>
    </row>
    <row r="16" spans="1:26" ht="15" customHeight="1" x14ac:dyDescent="0.25">
      <c r="A16" s="138" t="s">
        <v>46</v>
      </c>
      <c r="B16" s="119"/>
      <c r="C16" s="144" t="s">
        <v>47</v>
      </c>
      <c r="D16" s="119"/>
      <c r="E16" s="119"/>
      <c r="F16" s="39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FormSampel!I56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20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FormSampel!I57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20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FormSampel!I58</f>
        <v>0</v>
      </c>
      <c r="D26" s="30" t="s">
        <v>50</v>
      </c>
      <c r="E26" s="36">
        <v>1000</v>
      </c>
      <c r="F26" s="121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61">
        <f>C26/1000</f>
        <v>0</v>
      </c>
      <c r="D27" s="123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FormSampel!I59</f>
        <v>0</v>
      </c>
      <c r="D29" s="30" t="s">
        <v>50</v>
      </c>
      <c r="E29" s="36">
        <v>1000</v>
      </c>
      <c r="F29" s="124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20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7" t="s">
        <v>57</v>
      </c>
      <c r="B31" s="12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8" t="s">
        <v>59</v>
      </c>
      <c r="C32" s="119"/>
      <c r="D32" s="119"/>
      <c r="E32" s="129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9"/>
      <c r="F33" s="21"/>
      <c r="G33" s="1"/>
      <c r="H33" s="1"/>
      <c r="I33" s="1"/>
      <c r="J33" s="16"/>
    </row>
    <row r="34" spans="1:26" ht="15.75" customHeight="1" x14ac:dyDescent="0.25">
      <c r="A34" s="22"/>
      <c r="B34" s="158" t="s">
        <v>60</v>
      </c>
      <c r="C34" s="119"/>
      <c r="D34" s="119"/>
      <c r="E34" s="129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9" t="s">
        <v>61</v>
      </c>
      <c r="B38" s="126"/>
      <c r="C38" s="126"/>
      <c r="D38" s="126"/>
      <c r="E38" s="127"/>
      <c r="F38" s="146" t="str">
        <f>FormSampel!B19</f>
        <v xml:space="preserve">    IQBAL    NORDIYANA    MAISARAH</v>
      </c>
      <c r="G38" s="147"/>
      <c r="H38" s="150">
        <f>FormSampel!B20</f>
        <v>45301</v>
      </c>
      <c r="I38" s="150"/>
      <c r="J38" s="151"/>
    </row>
    <row r="39" spans="1:26" ht="11.25" customHeight="1" x14ac:dyDescent="0.25">
      <c r="A39" s="155"/>
      <c r="B39" s="156"/>
      <c r="C39" s="156"/>
      <c r="D39" s="156"/>
      <c r="E39" s="160"/>
      <c r="F39" s="148"/>
      <c r="G39" s="149"/>
      <c r="H39" s="152"/>
      <c r="I39" s="152"/>
      <c r="J39" s="153"/>
    </row>
    <row r="40" spans="1:26" ht="15.75" customHeight="1" x14ac:dyDescent="0.25">
      <c r="A40" s="154" t="s">
        <v>62</v>
      </c>
      <c r="B40" s="126"/>
      <c r="C40" s="126"/>
      <c r="D40" s="126"/>
      <c r="E40" s="126"/>
      <c r="F40" s="27"/>
      <c r="G40" s="23"/>
      <c r="H40" s="23"/>
      <c r="I40" s="23"/>
      <c r="J40" s="16"/>
    </row>
    <row r="41" spans="1:26" ht="11.25" customHeight="1" x14ac:dyDescent="0.25">
      <c r="A41" s="155"/>
      <c r="B41" s="156"/>
      <c r="C41" s="156"/>
      <c r="D41" s="156"/>
      <c r="E41" s="156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B5BB26-EC83-4DEC-86B3-348CE441E56E}">
  <sheetPr codeName="Sheet13"/>
  <dimension ref="A1:Z579"/>
  <sheetViews>
    <sheetView view="pageLayout" topLeftCell="A22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FormSampel!G61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011024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26"/>
      <c r="C7" s="137" t="s">
        <v>7</v>
      </c>
      <c r="D7" s="126"/>
      <c r="E7" s="126"/>
      <c r="F7" s="2" t="s">
        <v>8</v>
      </c>
      <c r="G7" s="125" t="s">
        <v>9</v>
      </c>
      <c r="H7" s="126"/>
      <c r="I7" s="126"/>
      <c r="J7" s="127"/>
    </row>
    <row r="8" spans="1:26" ht="15" customHeight="1" x14ac:dyDescent="0.25">
      <c r="A8" s="138" t="s">
        <v>10</v>
      </c>
      <c r="B8" s="119"/>
      <c r="C8" s="139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28"/>
      <c r="J8" s="129"/>
    </row>
    <row r="9" spans="1:26" ht="30" customHeight="1" x14ac:dyDescent="0.25">
      <c r="A9" s="140" t="s">
        <v>15</v>
      </c>
      <c r="B9" s="119"/>
      <c r="C9" s="139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8" t="s">
        <v>20</v>
      </c>
      <c r="B10" s="119"/>
      <c r="C10" s="139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0" t="s">
        <v>25</v>
      </c>
      <c r="B11" s="119"/>
      <c r="C11" s="14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8" t="s">
        <v>30</v>
      </c>
      <c r="B12" s="119"/>
      <c r="C12" s="139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8" t="s">
        <v>35</v>
      </c>
      <c r="B13" s="119"/>
      <c r="C13" s="139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8" t="s">
        <v>40</v>
      </c>
      <c r="B14" s="119"/>
      <c r="C14" s="139" t="s">
        <v>41</v>
      </c>
      <c r="D14" s="119"/>
      <c r="E14" s="7"/>
      <c r="F14" s="141" t="s">
        <v>42</v>
      </c>
      <c r="G14" s="119"/>
      <c r="H14" s="119"/>
      <c r="I14" s="142" t="s">
        <v>43</v>
      </c>
      <c r="J14" s="129"/>
    </row>
    <row r="15" spans="1:26" ht="15" customHeight="1" x14ac:dyDescent="0.25">
      <c r="A15" s="138" t="s">
        <v>44</v>
      </c>
      <c r="B15" s="119"/>
      <c r="C15" s="139" t="s">
        <v>45</v>
      </c>
      <c r="D15" s="119"/>
      <c r="E15" s="7"/>
      <c r="F15" s="38" t="s">
        <v>74</v>
      </c>
      <c r="G15" s="145" t="str">
        <f>FormSampel!B14</f>
        <v>HC 16350373 - 2</v>
      </c>
      <c r="H15" s="145"/>
      <c r="I15" s="99">
        <f>FormSampel!C14</f>
        <v>45808</v>
      </c>
      <c r="J15" s="100"/>
    </row>
    <row r="16" spans="1:26" ht="15" customHeight="1" x14ac:dyDescent="0.25">
      <c r="A16" s="138" t="s">
        <v>46</v>
      </c>
      <c r="B16" s="119"/>
      <c r="C16" s="144" t="s">
        <v>47</v>
      </c>
      <c r="D16" s="119"/>
      <c r="E16" s="119"/>
      <c r="F16" s="39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FormSampel!I61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20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FormSampel!I62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20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FormSampel!I63</f>
        <v>0</v>
      </c>
      <c r="D26" s="30" t="s">
        <v>50</v>
      </c>
      <c r="E26" s="36">
        <v>1000</v>
      </c>
      <c r="F26" s="121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61">
        <f>C26/1000</f>
        <v>0</v>
      </c>
      <c r="D27" s="123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FormSampel!I64</f>
        <v>0</v>
      </c>
      <c r="D29" s="30" t="s">
        <v>50</v>
      </c>
      <c r="E29" s="36">
        <v>1000</v>
      </c>
      <c r="F29" s="124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20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7" t="s">
        <v>57</v>
      </c>
      <c r="B31" s="12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8" t="s">
        <v>59</v>
      </c>
      <c r="C32" s="119"/>
      <c r="D32" s="119"/>
      <c r="E32" s="129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9"/>
      <c r="F33" s="21"/>
      <c r="G33" s="1"/>
      <c r="H33" s="1"/>
      <c r="I33" s="1"/>
      <c r="J33" s="16"/>
    </row>
    <row r="34" spans="1:26" ht="15.75" customHeight="1" x14ac:dyDescent="0.25">
      <c r="A34" s="22"/>
      <c r="B34" s="158" t="s">
        <v>60</v>
      </c>
      <c r="C34" s="119"/>
      <c r="D34" s="119"/>
      <c r="E34" s="129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9" t="s">
        <v>61</v>
      </c>
      <c r="B38" s="126"/>
      <c r="C38" s="126"/>
      <c r="D38" s="126"/>
      <c r="E38" s="127"/>
      <c r="F38" s="146" t="str">
        <f>FormSampel!B19</f>
        <v xml:space="preserve">    IQBAL    NORDIYANA    MAISARAH</v>
      </c>
      <c r="G38" s="147"/>
      <c r="H38" s="150">
        <f>FormSampel!B20</f>
        <v>45301</v>
      </c>
      <c r="I38" s="150"/>
      <c r="J38" s="151"/>
    </row>
    <row r="39" spans="1:26" ht="11.25" customHeight="1" x14ac:dyDescent="0.25">
      <c r="A39" s="155"/>
      <c r="B39" s="156"/>
      <c r="C39" s="156"/>
      <c r="D39" s="156"/>
      <c r="E39" s="160"/>
      <c r="F39" s="148"/>
      <c r="G39" s="149"/>
      <c r="H39" s="152"/>
      <c r="I39" s="152"/>
      <c r="J39" s="153"/>
    </row>
    <row r="40" spans="1:26" ht="15.75" customHeight="1" x14ac:dyDescent="0.25">
      <c r="A40" s="154" t="s">
        <v>62</v>
      </c>
      <c r="B40" s="126"/>
      <c r="C40" s="126"/>
      <c r="D40" s="126"/>
      <c r="E40" s="126"/>
      <c r="F40" s="27"/>
      <c r="G40" s="23"/>
      <c r="H40" s="23"/>
      <c r="I40" s="23"/>
      <c r="J40" s="16"/>
    </row>
    <row r="41" spans="1:26" ht="11.25" customHeight="1" x14ac:dyDescent="0.25">
      <c r="A41" s="155"/>
      <c r="B41" s="156"/>
      <c r="C41" s="156"/>
      <c r="D41" s="156"/>
      <c r="E41" s="156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E72A6-7697-48BC-A7E8-ABC42CACB18C}">
  <sheetPr codeName="Sheet14"/>
  <dimension ref="A1:Z579"/>
  <sheetViews>
    <sheetView view="pageLayout" topLeftCell="A27" zoomScale="112" zoomScaleNormal="100" zoomScalePageLayoutView="112" workbookViewId="0">
      <selection activeCell="H38" sqref="H38:J39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FormSampel!G66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011024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26"/>
      <c r="C7" s="137" t="s">
        <v>7</v>
      </c>
      <c r="D7" s="126"/>
      <c r="E7" s="126"/>
      <c r="F7" s="2" t="s">
        <v>8</v>
      </c>
      <c r="G7" s="125" t="s">
        <v>9</v>
      </c>
      <c r="H7" s="126"/>
      <c r="I7" s="126"/>
      <c r="J7" s="127"/>
    </row>
    <row r="8" spans="1:26" ht="15" customHeight="1" x14ac:dyDescent="0.25">
      <c r="A8" s="138" t="s">
        <v>10</v>
      </c>
      <c r="B8" s="119"/>
      <c r="C8" s="139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28"/>
      <c r="J8" s="129"/>
    </row>
    <row r="9" spans="1:26" ht="30" customHeight="1" x14ac:dyDescent="0.25">
      <c r="A9" s="140" t="s">
        <v>15</v>
      </c>
      <c r="B9" s="119"/>
      <c r="C9" s="139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8" t="s">
        <v>20</v>
      </c>
      <c r="B10" s="119"/>
      <c r="C10" s="139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0" t="s">
        <v>25</v>
      </c>
      <c r="B11" s="119"/>
      <c r="C11" s="14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8" t="s">
        <v>30</v>
      </c>
      <c r="B12" s="119"/>
      <c r="C12" s="139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8" t="s">
        <v>35</v>
      </c>
      <c r="B13" s="119"/>
      <c r="C13" s="139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8" t="s">
        <v>40</v>
      </c>
      <c r="B14" s="119"/>
      <c r="C14" s="139" t="s">
        <v>41</v>
      </c>
      <c r="D14" s="119"/>
      <c r="E14" s="7"/>
      <c r="F14" s="141" t="s">
        <v>42</v>
      </c>
      <c r="G14" s="119"/>
      <c r="H14" s="119"/>
      <c r="I14" s="142" t="s">
        <v>43</v>
      </c>
      <c r="J14" s="129"/>
    </row>
    <row r="15" spans="1:26" ht="15" customHeight="1" x14ac:dyDescent="0.25">
      <c r="A15" s="138" t="s">
        <v>44</v>
      </c>
      <c r="B15" s="119"/>
      <c r="C15" s="139" t="s">
        <v>45</v>
      </c>
      <c r="D15" s="119"/>
      <c r="E15" s="7"/>
      <c r="F15" s="38" t="s">
        <v>74</v>
      </c>
      <c r="G15" s="145" t="str">
        <f>FormSampel!B14</f>
        <v>HC 16350373 - 2</v>
      </c>
      <c r="H15" s="145"/>
      <c r="I15" s="99">
        <f>FormSampel!C14</f>
        <v>45808</v>
      </c>
      <c r="J15" s="100"/>
    </row>
    <row r="16" spans="1:26" ht="15" customHeight="1" x14ac:dyDescent="0.25">
      <c r="A16" s="138" t="s">
        <v>46</v>
      </c>
      <c r="B16" s="119"/>
      <c r="C16" s="144" t="s">
        <v>47</v>
      </c>
      <c r="D16" s="119"/>
      <c r="E16" s="119"/>
      <c r="F16" s="39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FormSampel!I66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20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FormSampel!I67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20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FormSampel!I68</f>
        <v>0</v>
      </c>
      <c r="D26" s="30" t="s">
        <v>50</v>
      </c>
      <c r="E26" s="36">
        <v>1000</v>
      </c>
      <c r="F26" s="121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61">
        <f>C26/1000</f>
        <v>0</v>
      </c>
      <c r="D27" s="123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FormSampel!I69</f>
        <v>0</v>
      </c>
      <c r="D29" s="30" t="s">
        <v>50</v>
      </c>
      <c r="E29" s="36">
        <v>1000</v>
      </c>
      <c r="F29" s="124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20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7" t="s">
        <v>57</v>
      </c>
      <c r="B31" s="12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8" t="s">
        <v>59</v>
      </c>
      <c r="C32" s="119"/>
      <c r="D32" s="119"/>
      <c r="E32" s="129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9"/>
      <c r="F33" s="21"/>
      <c r="G33" s="1"/>
      <c r="H33" s="1"/>
      <c r="I33" s="1"/>
      <c r="J33" s="16"/>
    </row>
    <row r="34" spans="1:26" ht="15.75" customHeight="1" x14ac:dyDescent="0.25">
      <c r="A34" s="22"/>
      <c r="B34" s="158" t="s">
        <v>60</v>
      </c>
      <c r="C34" s="119"/>
      <c r="D34" s="119"/>
      <c r="E34" s="129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9" t="s">
        <v>61</v>
      </c>
      <c r="B38" s="126"/>
      <c r="C38" s="126"/>
      <c r="D38" s="126"/>
      <c r="E38" s="127"/>
      <c r="F38" s="146" t="str">
        <f>FormSampel!B19</f>
        <v xml:space="preserve">    IQBAL    NORDIYANA    MAISARAH</v>
      </c>
      <c r="G38" s="147"/>
      <c r="H38" s="150">
        <f>FormSampel!B20</f>
        <v>45301</v>
      </c>
      <c r="I38" s="150"/>
      <c r="J38" s="151"/>
    </row>
    <row r="39" spans="1:26" ht="11.25" customHeight="1" x14ac:dyDescent="0.25">
      <c r="A39" s="155"/>
      <c r="B39" s="156"/>
      <c r="C39" s="156"/>
      <c r="D39" s="156"/>
      <c r="E39" s="160"/>
      <c r="F39" s="148"/>
      <c r="G39" s="149"/>
      <c r="H39" s="152"/>
      <c r="I39" s="152"/>
      <c r="J39" s="153"/>
    </row>
    <row r="40" spans="1:26" ht="15.75" customHeight="1" x14ac:dyDescent="0.25">
      <c r="A40" s="154" t="s">
        <v>62</v>
      </c>
      <c r="B40" s="126"/>
      <c r="C40" s="126"/>
      <c r="D40" s="126"/>
      <c r="E40" s="126"/>
      <c r="F40" s="27"/>
      <c r="G40" s="23"/>
      <c r="H40" s="23"/>
      <c r="I40" s="23"/>
      <c r="J40" s="16"/>
    </row>
    <row r="41" spans="1:26" ht="11.25" customHeight="1" x14ac:dyDescent="0.25">
      <c r="A41" s="155"/>
      <c r="B41" s="156"/>
      <c r="C41" s="156"/>
      <c r="D41" s="156"/>
      <c r="E41" s="156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C1632-1DF1-4581-8F67-DF7E828E215D}">
  <sheetPr codeName="Sheet15"/>
  <dimension ref="A1:Z579"/>
  <sheetViews>
    <sheetView view="pageLayout" topLeftCell="A19" zoomScale="112" zoomScaleNormal="100" zoomScalePageLayoutView="112" workbookViewId="0">
      <selection activeCell="L40" sqref="L40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30" t="s">
        <v>0</v>
      </c>
      <c r="B1" s="131"/>
      <c r="C1" s="131"/>
      <c r="D1" s="131"/>
      <c r="E1" s="131"/>
      <c r="F1" s="131"/>
      <c r="G1" s="131"/>
      <c r="H1" s="131"/>
      <c r="I1" s="131"/>
      <c r="J1" s="132"/>
    </row>
    <row r="2" spans="1:26" x14ac:dyDescent="0.25">
      <c r="A2" s="130" t="s">
        <v>1</v>
      </c>
      <c r="B2" s="131"/>
      <c r="C2" s="131"/>
      <c r="D2" s="131"/>
      <c r="E2" s="131"/>
      <c r="F2" s="131"/>
      <c r="G2" s="131"/>
      <c r="H2" s="131"/>
      <c r="I2" s="131"/>
      <c r="J2" s="132"/>
    </row>
    <row r="3" spans="1:26" x14ac:dyDescent="0.25">
      <c r="A3" s="133" t="s">
        <v>2</v>
      </c>
      <c r="B3" s="131"/>
      <c r="C3" s="132"/>
      <c r="D3" s="134">
        <f>FormSampel!G71</f>
        <v>0</v>
      </c>
      <c r="E3" s="131"/>
      <c r="F3" s="131"/>
      <c r="G3" s="131"/>
      <c r="H3" s="131"/>
      <c r="I3" s="131"/>
      <c r="J3" s="132"/>
    </row>
    <row r="4" spans="1:26" x14ac:dyDescent="0.25">
      <c r="A4" s="133" t="s">
        <v>3</v>
      </c>
      <c r="B4" s="131"/>
      <c r="C4" s="132"/>
      <c r="D4" s="134" t="str">
        <f>FormSampel!B2</f>
        <v>011024</v>
      </c>
      <c r="E4" s="131"/>
      <c r="F4" s="131"/>
      <c r="G4" s="131"/>
      <c r="H4" s="131"/>
      <c r="I4" s="131"/>
      <c r="J4" s="132"/>
    </row>
    <row r="5" spans="1:26" ht="15" customHeight="1" x14ac:dyDescent="0.25">
      <c r="A5" s="135" t="s">
        <v>4</v>
      </c>
      <c r="B5" s="131"/>
      <c r="C5" s="131"/>
      <c r="D5" s="131"/>
      <c r="E5" s="131"/>
      <c r="F5" s="131"/>
      <c r="G5" s="131"/>
      <c r="H5" s="131"/>
      <c r="I5" s="131"/>
      <c r="J5" s="132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5" t="s">
        <v>5</v>
      </c>
      <c r="B6" s="131"/>
      <c r="C6" s="131"/>
      <c r="D6" s="131"/>
      <c r="E6" s="131"/>
      <c r="F6" s="131"/>
      <c r="G6" s="131"/>
      <c r="H6" s="131"/>
      <c r="I6" s="131"/>
      <c r="J6" s="132"/>
    </row>
    <row r="7" spans="1:26" ht="30" customHeight="1" x14ac:dyDescent="0.25">
      <c r="A7" s="136" t="s">
        <v>6</v>
      </c>
      <c r="B7" s="126"/>
      <c r="C7" s="137" t="s">
        <v>7</v>
      </c>
      <c r="D7" s="126"/>
      <c r="E7" s="126"/>
      <c r="F7" s="2" t="s">
        <v>8</v>
      </c>
      <c r="G7" s="125" t="s">
        <v>9</v>
      </c>
      <c r="H7" s="126"/>
      <c r="I7" s="126"/>
      <c r="J7" s="127"/>
    </row>
    <row r="8" spans="1:26" ht="15" customHeight="1" x14ac:dyDescent="0.25">
      <c r="A8" s="138" t="s">
        <v>10</v>
      </c>
      <c r="B8" s="119"/>
      <c r="C8" s="139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28"/>
      <c r="J8" s="129"/>
    </row>
    <row r="9" spans="1:26" ht="30" customHeight="1" x14ac:dyDescent="0.25">
      <c r="A9" s="140" t="s">
        <v>15</v>
      </c>
      <c r="B9" s="119"/>
      <c r="C9" s="139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8" t="s">
        <v>20</v>
      </c>
      <c r="B10" s="119"/>
      <c r="C10" s="139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40" t="s">
        <v>25</v>
      </c>
      <c r="B11" s="119"/>
      <c r="C11" s="143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8" t="s">
        <v>30</v>
      </c>
      <c r="B12" s="119"/>
      <c r="C12" s="139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8" t="s">
        <v>35</v>
      </c>
      <c r="B13" s="119"/>
      <c r="C13" s="139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8" t="s">
        <v>40</v>
      </c>
      <c r="B14" s="119"/>
      <c r="C14" s="139" t="s">
        <v>41</v>
      </c>
      <c r="D14" s="119"/>
      <c r="E14" s="7"/>
      <c r="F14" s="141" t="s">
        <v>42</v>
      </c>
      <c r="G14" s="119"/>
      <c r="H14" s="119"/>
      <c r="I14" s="142" t="s">
        <v>43</v>
      </c>
      <c r="J14" s="129"/>
    </row>
    <row r="15" spans="1:26" ht="15" customHeight="1" x14ac:dyDescent="0.25">
      <c r="A15" s="138" t="s">
        <v>44</v>
      </c>
      <c r="B15" s="119"/>
      <c r="C15" s="139" t="s">
        <v>45</v>
      </c>
      <c r="D15" s="119"/>
      <c r="E15" s="7"/>
      <c r="F15" s="38" t="s">
        <v>74</v>
      </c>
      <c r="G15" s="145" t="str">
        <f>FormSampel!B14</f>
        <v>HC 16350373 - 2</v>
      </c>
      <c r="H15" s="145"/>
      <c r="I15" s="99">
        <f>FormSampel!C14</f>
        <v>45808</v>
      </c>
      <c r="J15" s="100"/>
    </row>
    <row r="16" spans="1:26" ht="15" customHeight="1" x14ac:dyDescent="0.25">
      <c r="A16" s="138" t="s">
        <v>46</v>
      </c>
      <c r="B16" s="119"/>
      <c r="C16" s="144" t="s">
        <v>47</v>
      </c>
      <c r="D16" s="119"/>
      <c r="E16" s="119"/>
      <c r="F16" s="39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3"/>
      <c r="B17" s="2"/>
      <c r="C17" s="13"/>
      <c r="D17" s="13"/>
      <c r="E17" s="13"/>
      <c r="F17" s="39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0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FormSampel!I71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20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FormSampel!I72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20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FormSampel!I73</f>
        <v>0</v>
      </c>
      <c r="D26" s="30" t="s">
        <v>50</v>
      </c>
      <c r="E26" s="36">
        <v>1000</v>
      </c>
      <c r="F26" s="121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61">
        <f>C26/1000</f>
        <v>0</v>
      </c>
      <c r="D27" s="123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FormSampel!I74</f>
        <v>0</v>
      </c>
      <c r="D29" s="30" t="s">
        <v>50</v>
      </c>
      <c r="E29" s="36">
        <v>1000</v>
      </c>
      <c r="F29" s="124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20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7" t="s">
        <v>57</v>
      </c>
      <c r="B31" s="126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8" t="s">
        <v>59</v>
      </c>
      <c r="C32" s="119"/>
      <c r="D32" s="119"/>
      <c r="E32" s="129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9"/>
      <c r="F33" s="21"/>
      <c r="G33" s="1"/>
      <c r="H33" s="1"/>
      <c r="I33" s="1"/>
      <c r="J33" s="16"/>
    </row>
    <row r="34" spans="1:26" ht="15.75" customHeight="1" x14ac:dyDescent="0.25">
      <c r="A34" s="22"/>
      <c r="B34" s="158" t="s">
        <v>60</v>
      </c>
      <c r="C34" s="119"/>
      <c r="D34" s="119"/>
      <c r="E34" s="129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9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9" t="s">
        <v>61</v>
      </c>
      <c r="B38" s="126"/>
      <c r="C38" s="126"/>
      <c r="D38" s="126"/>
      <c r="E38" s="127"/>
      <c r="F38" s="146" t="str">
        <f>FormSampel!B19</f>
        <v xml:space="preserve">    IQBAL    NORDIYANA    MAISARAH</v>
      </c>
      <c r="G38" s="147"/>
      <c r="H38" s="150">
        <f>FormSampel!B20</f>
        <v>45301</v>
      </c>
      <c r="I38" s="150"/>
      <c r="J38" s="151"/>
    </row>
    <row r="39" spans="1:26" ht="11.25" customHeight="1" x14ac:dyDescent="0.25">
      <c r="A39" s="155"/>
      <c r="B39" s="156"/>
      <c r="C39" s="156"/>
      <c r="D39" s="156"/>
      <c r="E39" s="160"/>
      <c r="F39" s="148"/>
      <c r="G39" s="149"/>
      <c r="H39" s="152"/>
      <c r="I39" s="152"/>
      <c r="J39" s="153"/>
    </row>
    <row r="40" spans="1:26" ht="15.75" customHeight="1" x14ac:dyDescent="0.25">
      <c r="A40" s="154" t="s">
        <v>62</v>
      </c>
      <c r="B40" s="126"/>
      <c r="C40" s="126"/>
      <c r="D40" s="126"/>
      <c r="E40" s="126"/>
      <c r="F40" s="27"/>
      <c r="G40" s="23"/>
      <c r="H40" s="23"/>
      <c r="I40" s="23"/>
      <c r="J40" s="16"/>
    </row>
    <row r="41" spans="1:26" ht="11.25" customHeight="1" x14ac:dyDescent="0.25">
      <c r="A41" s="155"/>
      <c r="B41" s="156"/>
      <c r="C41" s="156"/>
      <c r="D41" s="156"/>
      <c r="E41" s="156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syariefazman</cp:lastModifiedBy>
  <cp:lastPrinted>2024-11-22T03:24:16Z</cp:lastPrinted>
  <dcterms:created xsi:type="dcterms:W3CDTF">2006-09-16T00:00:00Z</dcterms:created>
  <dcterms:modified xsi:type="dcterms:W3CDTF">2024-11-22T03:52:51Z</dcterms:modified>
</cp:coreProperties>
</file>